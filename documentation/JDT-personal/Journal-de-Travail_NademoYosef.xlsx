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F15DBC02-A812-42E1-BAA6-9CAD6E33849C}"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4320" yWindow="765" windowWidth="23520" windowHeight="1423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<sst xmlns="http://schemas.openxmlformats.org/spreadsheetml/2006/main" count="122" uniqueCount="76">
  <si>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</si>
  <si>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</si>
  <si>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</si>
  <si>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</si>
  <si>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</si>
  <si>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</si>
  <si>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</si>
  <si>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</si>
  <si>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</si>
  <si>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</si>
  <si>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</si>
  <si>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</si>
  <si>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</si>
  <si>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</si>
  <si>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</si>
  <si>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</si>
  <si>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</si>
  <si>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</si>
  <si>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</si>
  <si>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</si>
  <si>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</si>
  <si>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</si>
  <si>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</si>
  <si>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</si>
  <si>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</si>
  <si>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</si>
  <si>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</si>
  <si>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</si>
  <si>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</si>
  <si>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</si>
  <si>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</si>
  <si>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</si>
  <si>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</si>
  <si>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</si>
  <si>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</si>
  <si>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</si>
  <si>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</si>
  <si>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</si>
  <si>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</si>
  <si>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</si>
  <si>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</si>
  <si>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</si>
  <si>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</si>
  <si>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</si>
  <si>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</si>
  <si>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</si>
  <si>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</si>
  <si>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</si>
  <si>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</si>
  <si>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</si>
  <si>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</si>
  <si>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</si>
  <si>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</si>
  <si>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</si>
  <si>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</si>
  <si>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</si>
  <si>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</si>
  <si>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</si>
  <si>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</si>
  <si>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</si>
  <si>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</si>
  <si>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</si>
  <si>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</si>
  <si>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</si>
  <si>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</si>
  <si>
    <t>adaptation des image des livres avec CSS</t>
  </si>
  <si>
    <t>BackEnd(supprimer un problème avec CORS), installation de paquet npm "cors", importation + autorise toutes les origines; TEST avec des images</t>
  </si>
  <si>
    <t>&lt;div v-for="book in books.slice(0, 5)" :key="book.livre_id" class="book-card"&gt;</t>
  </si>
  <si>
    <t>PageAcceuil( j'ai fait limitation des livres à 5) + ajuster la taille des images + placement jolie et structurisé sur la page</t>
  </si>
  <si>
    <t>&lt;div
          v-for="book in showAll ? books : books.slice(0, 5)"
          :key="book.livre_id"
          class="book-card"
        &gt;</t>
  </si>
  <si>
    <t>PageAcceuil( Title et description ) + ajout de founction showAll pour donner la posibilite de montrer tous les livres ou juste 5 premiers + modification des titres et du text explicatif + (CSS) pour chque de ces étap, transformation des "px" en "em" pour faire un design responsive ; App.vue (CSS)</t>
  </si>
  <si>
    <t>Création de css pour la page des categories</t>
  </si>
  <si>
    <t>Création de css pour la page des livres d'une "category"</t>
  </si>
  <si>
    <t>Page d'ajout d'un ouvrage( creation de template)</t>
  </si>
  <si>
    <t>Page d'ajout d'un ouvrage (transfering data vers API et db)script; utilisation le user qui est dans JWT token, creation de methode</t>
  </si>
  <si>
    <t xml:space="preserve">
CSS pour une page d’ajout d’un ouvrage (accès utilisateur)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</si>
</sst>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0.44097222222222221</c:v>
                </c:pt>
                <c:pt idx="2">
                  <c:v>0</c:v>
                </c:pt>
                <c:pt idx="3">
                  <c:v>4.1666666666666664E-2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32" activePane="bottomLeft" state="frozen"/>
      <selection pane="bottomLeft" activeCell="F42" sqref="F42"/>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14 heurs 30 minutes</v>
      </c>
      <c r="D3" s="22"/>
      <c r="E3" s="3"/>
      <c r="F3" s="4" t="s">
        <v>10</v>
      </c>
      <c r="G3" s="7" t="s">
        <v>28</v>
      </c>
    </row>
    <row r="4" spans="1:15" ht="23.25" hidden="1" x14ac:dyDescent="0.35">
      <c r="B4" s="5"/>
      <c r="C4" s="22">
        <f>SUBTOTAL(9,$C$7:$C$531)*60</f>
        <v>180</v>
      </c>
      <c r="D4" s="22">
        <f>SUBTOTAL(9,$D$7:$D$531)</f>
        <v>690</v>
      </c>
      <c r="E4" s="40">
        <f>SUM(C4:D4)</f>
        <v>870</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66</v>
      </c>
      <c r="G29" s="56" t="s">
        <v>55</v>
      </c>
    </row>
    <row r="30" spans="1:15" ht="31.5" x14ac:dyDescent="0.25">
      <c r="A30" s="8">
        <f>IF(ISBLANK(B30),"",_xlfn.ISOWEEKNUM('Journal de travail'!$B30))</f>
        <v>19</v>
      </c>
      <c r="B30" s="46">
        <v>45783</v>
      </c>
      <c r="C30" s="47"/>
      <c r="D30" s="48">
        <v>30</v>
      </c>
      <c r="E30" s="49" t="s">
        <v>4</v>
      </c>
      <c r="F30" s="36" t="s">
        <v>60</v>
      </c>
      <c r="G30" s="55" t="s">
        <v>59</v>
      </c>
    </row>
    <row r="31" spans="1:15" x14ac:dyDescent="0.25">
      <c r="A31" s="16">
        <f>IF(ISBLANK(B31),"",_xlfn.ISOWEEKNUM('Journal de travail'!$B31))</f>
        <v>19</v>
      </c>
      <c r="B31" s="50">
        <v>45783</v>
      </c>
      <c r="C31" s="51"/>
      <c r="D31" s="52">
        <v>30</v>
      </c>
      <c r="E31" s="53" t="s">
        <v>4</v>
      </c>
      <c r="F31" s="35" t="s">
        <v>62</v>
      </c>
      <c r="G31" s="56" t="s">
        <v>61</v>
      </c>
    </row>
    <row r="32" spans="1:15" ht="173.25" x14ac:dyDescent="0.25">
      <c r="A32" s="8">
        <f>IF(ISBLANK(B32),"",_xlfn.ISOWEEKNUM('Journal de travail'!$B32))</f>
        <v>19</v>
      </c>
      <c r="B32" s="46">
        <v>45783</v>
      </c>
      <c r="C32" s="47"/>
      <c r="D32" s="48">
        <v>15</v>
      </c>
      <c r="E32" s="49" t="s">
        <v>4</v>
      </c>
      <c r="F32" s="36" t="s">
        <v>64</v>
      </c>
      <c r="G32" s="55" t="s">
        <v>63</v>
      </c>
    </row>
    <row r="33" spans="1:7" x14ac:dyDescent="0.25">
      <c r="A33" s="16">
        <f>IF(ISBLANK(B33),"",_xlfn.ISOWEEKNUM('Journal de travail'!$B33))</f>
        <v>19</v>
      </c>
      <c r="B33" s="50">
        <v>45783</v>
      </c>
      <c r="C33" s="51"/>
      <c r="D33" s="52">
        <v>10</v>
      </c>
      <c r="E33" s="53" t="s">
        <v>4</v>
      </c>
      <c r="F33" s="35" t="s">
        <v>65</v>
      </c>
      <c r="G33" s="56" t="s">
        <v>56</v>
      </c>
    </row>
    <row r="34" spans="1:7" x14ac:dyDescent="0.25">
      <c r="A34" s="8">
        <f>IF(ISBLANK(B34),"",_xlfn.ISOWEEKNUM('Journal de travail'!$B34))</f>
        <v>19</v>
      </c>
      <c r="B34" s="46">
        <v>45783</v>
      </c>
      <c r="C34" s="47"/>
      <c r="D34" s="48">
        <v>20</v>
      </c>
      <c r="E34" s="49" t="s">
        <v>6</v>
      </c>
      <c r="F34" s="35" t="s">
        <v>47</v>
      </c>
      <c r="G34" s="55"/>
    </row>
    <row r="35" spans="1:7" ht="31.5" x14ac:dyDescent="0.25">
      <c r="A35" s="16">
        <f>IF(ISBLANK(B35),"",_xlfn.ISOWEEKNUM('Journal de travail'!$B35))</f>
        <v>19</v>
      </c>
      <c r="B35" s="50">
        <v>45784</v>
      </c>
      <c r="C35" s="51"/>
      <c r="D35" s="52">
        <v>30</v>
      </c>
      <c r="E35" s="53" t="s">
        <v>4</v>
      </c>
      <c r="F35" s="36" t="s">
        <v>68</v>
      </c>
      <c r="G35" s="56" t="s">
        <v>67</v>
      </c>
    </row>
    <row r="36" spans="1:7" ht="78.75" x14ac:dyDescent="0.25">
      <c r="A36" s="8">
        <f>IF(ISBLANK(B36),"",_xlfn.ISOWEEKNUM('Journal de travail'!$B36))</f>
        <v>19</v>
      </c>
      <c r="B36" s="46">
        <v>45784</v>
      </c>
      <c r="C36" s="47">
        <v>1</v>
      </c>
      <c r="D36" s="48">
        <v>30</v>
      </c>
      <c r="E36" s="49" t="s">
        <v>4</v>
      </c>
      <c r="F36" s="35" t="s">
        <v>70</v>
      </c>
      <c r="G36" s="55" t="s">
        <v>69</v>
      </c>
    </row>
    <row r="37" spans="1:7" x14ac:dyDescent="0.25">
      <c r="A37" s="16">
        <f>IF(ISBLANK(B37),"",_xlfn.ISOWEEKNUM('Journal de travail'!$B37))</f>
        <v>19</v>
      </c>
      <c r="B37" s="50">
        <v>45784</v>
      </c>
      <c r="C37" s="51"/>
      <c r="D37" s="52">
        <v>30</v>
      </c>
      <c r="E37" s="53" t="s">
        <v>4</v>
      </c>
      <c r="F37" s="35" t="s">
        <v>71</v>
      </c>
      <c r="G37" s="56"/>
    </row>
    <row r="38" spans="1:7" x14ac:dyDescent="0.25">
      <c r="A38" s="8">
        <f>IF(ISBLANK(B38),"",_xlfn.ISOWEEKNUM('Journal de travail'!$B38))</f>
        <v>19</v>
      </c>
      <c r="B38" s="46">
        <v>45784</v>
      </c>
      <c r="C38" s="47"/>
      <c r="D38" s="48">
        <v>30</v>
      </c>
      <c r="E38" s="49" t="s">
        <v>4</v>
      </c>
      <c r="F38" s="35" t="s">
        <v>72</v>
      </c>
      <c r="G38" s="55"/>
    </row>
    <row r="39" spans="1:7" x14ac:dyDescent="0.25">
      <c r="A39" s="16">
        <f>IF(ISBLANK(B39),"",_xlfn.ISOWEEKNUM('Journal de travail'!$B39))</f>
        <v>19</v>
      </c>
      <c r="B39" s="50">
        <v>45784</v>
      </c>
      <c r="C39" s="51"/>
      <c r="D39" s="52">
        <v>20</v>
      </c>
      <c r="E39" s="53" t="s">
        <v>6</v>
      </c>
      <c r="F39" s="35" t="s">
        <v>47</v>
      </c>
      <c r="G39" s="56"/>
    </row>
    <row r="40" spans="1:7" x14ac:dyDescent="0.25">
      <c r="A40" s="8">
        <f>IF(ISBLANK(B40),"",_xlfn.ISOWEEKNUM('Journal de travail'!$B40))</f>
        <v>20</v>
      </c>
      <c r="B40" s="46">
        <v>45790</v>
      </c>
      <c r="C40" s="47"/>
      <c r="D40" s="48">
        <v>40</v>
      </c>
      <c r="E40" s="49" t="s">
        <v>4</v>
      </c>
      <c r="F40" s="35" t="s">
        <v>73</v>
      </c>
      <c r="G40" s="55"/>
    </row>
    <row r="41" spans="1:7" x14ac:dyDescent="0.25">
      <c r="A41" s="16">
        <f>IF(ISBLANK(B41),"",_xlfn.ISOWEEKNUM('Journal de travail'!$B41))</f>
        <v>20</v>
      </c>
      <c r="B41" s="50">
        <v>45790</v>
      </c>
      <c r="C41" s="51">
        <v>1</v>
      </c>
      <c r="D41" s="52">
        <v>10</v>
      </c>
      <c r="E41" s="53" t="s">
        <v>4</v>
      </c>
      <c r="F41" s="35" t="s">
        <v>74</v>
      </c>
      <c r="G41" s="56"/>
    </row>
    <row r="42" spans="1:7" ht="31.5" x14ac:dyDescent="0.25">
      <c r="A42" s="8">
        <f>IF(ISBLANK(B42),"",_xlfn.ISOWEEKNUM('Journal de travail'!$B42))</f>
        <v>20</v>
      </c>
      <c r="B42" s="46">
        <v>45790</v>
      </c>
      <c r="C42" s="47"/>
      <c r="D42" s="48">
        <v>30</v>
      </c>
      <c r="E42" s="49" t="s">
        <v>4</v>
      </c>
      <c r="F42" s="36" t="s">
        <v>75</v>
      </c>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180</v>
      </c>
      <c r="B5">
        <f>SUMIF('Journal de travail'!$E$7:$E$532,Analyse!C5,'Journal de travail'!$D$7:$D$532)</f>
        <v>455</v>
      </c>
      <c r="C5" s="41" t="str">
        <f>'Journal de travail'!M9</f>
        <v>Développement</v>
      </c>
      <c r="D5" s="33">
        <f t="shared" ref="D5:D11" si="0">(A5+B5)/1440</f>
        <v>0.44097222222222221</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60</v>
      </c>
      <c r="C7" s="27" t="str">
        <f>'Journal de travail'!M11</f>
        <v>Documentation</v>
      </c>
      <c r="D7" s="33">
        <f t="shared" si="0"/>
        <v>4.1666666666666664E-2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0.60416666666666674</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2025-05-13T14:45:09Z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