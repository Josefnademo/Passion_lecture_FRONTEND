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192CEB1C-8981-43BA-85ED-3AFF7EC25057}"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4830" yWindow="0" windowWidth="21600" windowHeight="1560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<sst xmlns="http://schemas.openxmlformats.org/spreadsheetml/2006/main" count="71" uniqueCount="48">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</sst>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9">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0.11805555555555555</c:v>
                </c:pt>
                <c:pt idx="2">
                  <c:v>0</c:v>
                </c:pt>
                <c:pt idx="3">
                  <c:v>1.3888888888888888E-2</c:v>
                </c:pt>
                <c:pt idx="4">
                  <c:v>2.0833333333333332E-2</c:v>
                </c:pt>
                <c:pt idx="5">
                  <c:v>0</c:v>
                </c:pt>
                <c:pt idx="6">
                  <c:v>4.8611111111111112E-2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7" activePane="bottomLeft" state="frozen"/>
      <selection pane="bottomLeft" activeCell="F23" sqref="F23"/>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27</v>
      </c>
      <c r="D2" s="57"/>
      <c r="E2" s="57"/>
      <c r="F2" s="5" t="s">
        <v>2</v>
      </c>
      <c r="G2" s="6" t="s">
        <v>31</v>
      </c>
    </row>
    <row r="3" spans="1:15" ht="23.25" x14ac:dyDescent="0.35">
      <c r="B3" s="5" t="s">
        <v>9</v>
      </c>
      <c r="C3" s="22" t="str">
        <f>INT(E4/1440)&amp;" jours "&amp;INT(MOD(E4/1440,1)*24)&amp;" heurs "&amp;INT(MOD(MOD(E4/1440,1)*24,1)*60)&amp;" minutes"</f>
        <v>0 jours 5 heurs 55 minutes</v>
      </c>
      <c r="D3" s="22"/>
      <c r="E3" s="3"/>
      <c r="F3" s="4" t="s">
        <v>10</v>
      </c>
      <c r="G3" s="7" t="s">
        <v>28</v>
      </c>
    </row>
    <row r="4" spans="1:15" ht="23.25" hidden="1" x14ac:dyDescent="0.35">
      <c r="B4" s="5"/>
      <c r="C4" s="22">
        <f>SUBTOTAL(9,$C$7:$C$531)*60</f>
        <v>60</v>
      </c>
      <c r="D4" s="22">
        <f>SUBTOTAL(9,$D$7:$D$531)</f>
        <v>295</v>
      </c>
      <c r="E4" s="40">
        <f>SUM(C4:D4)</f>
        <v>355</v>
      </c>
      <c r="F4" s="4"/>
      <c r="G4" s="7"/>
    </row>
    <row r="5" spans="1:15" x14ac:dyDescent="0.25">
      <c r="C5" s="58" t="s">
        <v>16</v>
      </c>
      <c r="D5" s="58"/>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x14ac:dyDescent="0.25">
      <c r="A21" s="16">
        <f>IF(ISBLANK(B21),"",_xlfn.ISOWEEKNUM('Journal de travail'!$B21))</f>
        <v>18</v>
      </c>
      <c r="B21" s="50">
        <v>45777</v>
      </c>
      <c r="C21" s="51">
        <v>1</v>
      </c>
      <c r="D21" s="52">
        <v>30</v>
      </c>
      <c r="E21" s="53" t="s">
        <v>4</v>
      </c>
      <c r="F21" s="36" t="s">
        <v>46</v>
      </c>
      <c r="G21" s="56"/>
    </row>
    <row r="22" spans="1:15" ht="31.5" x14ac:dyDescent="0.25">
      <c r="A22" s="8">
        <f>IF(ISBLANK(B22),"",_xlfn.ISOWEEKNUM('Journal de travail'!$B22))</f>
        <v>18</v>
      </c>
      <c r="B22" s="46">
        <v>45777</v>
      </c>
      <c r="C22" s="47"/>
      <c r="D22" s="48">
        <v>20</v>
      </c>
      <c r="E22" s="49" t="s">
        <v>6</v>
      </c>
      <c r="F22" s="36" t="s">
        <v>47</v>
      </c>
      <c r="G22" s="55"/>
    </row>
    <row r="23" spans="1:15" x14ac:dyDescent="0.25">
      <c r="A23" s="16" t="str">
        <f>IF(ISBLANK(B23),"",_xlfn.ISOWEEKNUM('Journal de travail'!$B23))</f>
        <v/>
      </c>
      <c r="B23" s="50"/>
      <c r="C23" s="51"/>
      <c r="D23" s="52"/>
      <c r="E23" s="53"/>
      <c r="F23" s="36"/>
      <c r="G23" s="56"/>
    </row>
    <row r="24" spans="1:15" x14ac:dyDescent="0.25">
      <c r="A24" s="8" t="str">
        <f>IF(ISBLANK(B24),"",_xlfn.ISOWEEKNUM('Journal de travail'!$B24))</f>
        <v/>
      </c>
      <c r="B24" s="46"/>
      <c r="C24" s="47"/>
      <c r="D24" s="48"/>
      <c r="E24" s="49"/>
      <c r="F24" s="36"/>
      <c r="G24" s="55"/>
    </row>
    <row r="25" spans="1:15" x14ac:dyDescent="0.25">
      <c r="A25" s="16" t="str">
        <f>IF(ISBLANK(B25),"",_xlfn.ISOWEEKNUM('Journal de travail'!$B25))</f>
        <v/>
      </c>
      <c r="B25" s="50"/>
      <c r="C25" s="51"/>
      <c r="D25" s="52"/>
      <c r="E25" s="53"/>
      <c r="F25" s="36"/>
      <c r="G25" s="56"/>
    </row>
    <row r="26" spans="1:15" x14ac:dyDescent="0.25">
      <c r="A26" s="8" t="str">
        <f>IF(ISBLANK(B26),"",_xlfn.ISOWEEKNUM('Journal de travail'!$B26))</f>
        <v/>
      </c>
      <c r="B26" s="46"/>
      <c r="C26" s="47"/>
      <c r="D26" s="48"/>
      <c r="E26" s="49"/>
      <c r="F26" s="36"/>
      <c r="G26" s="55"/>
    </row>
    <row r="27" spans="1:15" x14ac:dyDescent="0.25">
      <c r="A27" s="16" t="str">
        <f>IF(ISBLANK(B27),"",_xlfn.ISOWEEKNUM('Journal de travail'!$B27))</f>
        <v/>
      </c>
      <c r="B27" s="50"/>
      <c r="C27" s="51"/>
      <c r="D27" s="52"/>
      <c r="E27" s="53"/>
      <c r="F27" s="36"/>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60</v>
      </c>
      <c r="B5">
        <f>SUMIF('Journal de travail'!$E$7:$E$532,Analyse!C5,'Journal de travail'!$D$7:$D$532)</f>
        <v>110</v>
      </c>
      <c r="C5" s="41" t="str">
        <f>'Journal de travail'!M9</f>
        <v>Développement</v>
      </c>
      <c r="D5" s="33">
        <f t="shared" ref="D5:D11" si="0">(A5+B5)/1440</f>
        <v>0.11805555555555555</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20</v>
      </c>
      <c r="C7" s="27" t="str">
        <f>'Journal de travail'!M11</f>
        <v>Documentation</v>
      </c>
      <c r="D7" s="33">
        <f t="shared" si="0"/>
        <v>1.3888888888888888E-2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70</v>
      </c>
      <c r="C10" s="37" t="str">
        <f>'Journal de travail'!M14</f>
        <v>Design</v>
      </c>
      <c r="D10" s="33">
        <f t="shared" si="0"/>
        <v>4.8611111111111112E-2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0.24652777777777779</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2025-04-30T06:40:57Z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