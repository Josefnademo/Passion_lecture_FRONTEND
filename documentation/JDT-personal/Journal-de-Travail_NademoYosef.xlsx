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1ABC3B42-3B08-4B59-ACD8-701FC43316F3}"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0" yWindow="705" windowWidth="20700" windowHeight="1227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<sst xmlns="http://schemas.openxmlformats.org/spreadsheetml/2006/main" count="110" uniqueCount="71">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</sst>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0.30208333333333331</c:v>
                </c:pt>
                <c:pt idx="2">
                  <c:v>0</c:v>
                </c:pt>
                <c:pt idx="3">
                  <c:v>2.7777777777777776E-2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32" activePane="bottomLeft" state="frozen"/>
      <selection pane="bottomLeft" activeCell="F36" sqref="F36"/>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10 heurs 50 minutes</v>
      </c>
      <c r="D3" s="22"/>
      <c r="E3" s="3"/>
      <c r="F3" s="4" t="s">
        <v>10</v>
      </c>
      <c r="G3" s="7" t="s">
        <v>28</v>
      </c>
    </row>
    <row r="4" spans="1:15" ht="23.25" hidden="1" x14ac:dyDescent="0.35">
      <c r="B4" s="5"/>
      <c r="C4" s="22">
        <f>SUBTOTAL(9,$C$7:$C$531)*60</f>
        <v>120</v>
      </c>
      <c r="D4" s="22">
        <f>SUBTOTAL(9,$D$7:$D$531)</f>
        <v>530</v>
      </c>
      <c r="E4" s="40">
        <f>SUM(C4:D4)</f>
        <v>650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120</v>
      </c>
      <c r="B5">
        <f>SUMIF('Journal de travail'!$E$7:$E$532,Analyse!C5,'Journal de travail'!$D$7:$D$532)</f>
        <v>315</v>
      </c>
      <c r="C5" s="41" t="str">
        <f>'Journal de travail'!M9</f>
        <v>Développement</v>
      </c>
      <c r="D5" s="33">
        <f t="shared" ref="D5:D11" si="0">(A5+B5)/1440</f>
        <v>0.30208333333333331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40</v>
      </c>
      <c r="C7" s="27" t="str">
        <f>'Journal de travail'!M11</f>
        <v>Documentation</v>
      </c>
      <c r="D7" s="33">
        <f t="shared" si="0"/>
        <v>2.7777777777777776E-2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0.45138888888888884</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2025-05-07T08:56:30Z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