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2F3BA330-6C1B-4DDD-A606-BFFBB34C20CD}"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32355" yWindow="0" windowWidth="23520" windowHeight="1560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32" i="1" l="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A11" i="2" l="1"/>
  <c r="D11" i="2" s="1"/>
  <c r="A10" i="2"/>
  <c r="D10" i="2" s="1"/>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<sst xmlns="http://schemas.openxmlformats.org/spreadsheetml/2006/main" count="116" uniqueCount="73">
  <si>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</si>
  <si>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</si>
  <si>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</si>
  <si>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</si>
  <si>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</si>
  <si>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</si>
  <si>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</si>
  <si>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</si>
  <si>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</si>
  <si>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</si>
  <si>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</si>
  <si>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</si>
  <si>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</si>
  <si>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</si>
  <si>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</si>
  <si>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</si>
  <si>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</si>
  <si>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</si>
  <si>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</si>
  <si>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</si>
  <si>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</si>
  <si>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</si>
  <si>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</si>
  <si>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</si>
  <si>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</si>
  <si>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</si>
  <si>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</si>
  <si>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</si>
  <si>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</si>
  <si>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</si>
  <si>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</si>
  <si>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</si>
  <si>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</si>
  <si>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</si>
  <si>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</si>
  <si>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</si>
  <si>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</si>
  <si>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</si>
  <si>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</si>
  <si>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</si>
  <si>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</si>
  <si>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</si>
  <si>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</si>
  <si>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</si>
  <si>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</si>
  <si>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</si>
  <si>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</si>
  <si>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</si>
  <si>
    <t>devloppement de App.vue</t>
  </si>
  <si>
    <t>structurisation de App.vue , correction des erreurs ,creation des import export correctes - CSS  (Error message styling, buttons)</t>
  </si>
  <si>
    <t>modification pour la  version anglaise</t>
  </si>
  <si>
    <t>modification pour un champs ajout du champ "writer"</t>
  </si>
  <si>
    <t xml:space="preserve"> export du fichier maquette complet (un fichier pour réstorer la maquette)</t>
  </si>
  <si>
    <t>PageAcceuil(Book data loading from API, Books section (model))</t>
  </si>
  <si>
    <t>20miv</t>
  </si>
  <si>
    <t>BACKEND(app.js)</t>
  </si>
  <si>
    <t>FRONTEND(Acceuil.vue)</t>
  </si>
  <si>
    <t>donc j'ai mis l'information plus bas</t>
  </si>
  <si>
    <t>ce champs est pas au norme(la partie "Activite")</t>
  </si>
  <si>
    <t>FRONTEND(Footer.vue , App.vue , Acceuil.vue)</t>
  </si>
  <si>
    <t>correction du footer et integration correcte dans App.vue ; Il y avait des problemes dans la partie du code basique, donc j'ai du tout refaire</t>
  </si>
  <si>
    <t xml:space="preserve">BACKEND(DB -Migration)    mock-book.js  </t>
  </si>
  <si>
    <t>modification de mock-book.js  Création des 5 premiers livres dans la base de données avec des images réelles et un contenu cohérent</t>
  </si>
  <si>
    <t>const createdBook = await Book.create({
  titre: book.titre,
  annee_edition: book.annee_edition,
  nombre_de_page: book.nombre_de_page,
  category_id: book.category_id,
  writer_id: book.writer_id,
  lien_image: book.lien_image,
  lien_pdf: book.lien_pdf,
  resume: book.resume,
  editeur: book.editeur,
});</t>
  </si>
  <si>
    <t>Lors de l'importation des livres via la fonction importBooks(), les liens vers les images (par exemple, les couvertures) n’étaient pas enregistrés en base de données. Cela provenait du fait que la méthode Book.create() ne recevait pas ces champs lors de l’appel.
Résolution :
J’ai modifié la migration pour inclure les champs nécessaires dans la table Books, notamment ceux liés aux images (ex. : coverImageUrl, thumbnailUrl, etc.).
J’ai ensuite mis à jour la fonction importBooks() pour inclure ces champs lors de l’appel à Book.create().</t>
  </si>
  <si>
    <t>adaptation des image des livres avec CSS</t>
  </si>
  <si>
    <t>BackEnd(supprimer un problème avec CORS), installation de paquet npm "cors", importation + autorise toutes les origines; TEST avec des images</t>
  </si>
  <si>
    <t>&lt;div v-for="book in books.slice(0, 5)" :key="book.livre_id" class="book-card"&gt;</t>
  </si>
  <si>
    <t>PageAcceuil( j'ai fait limitation des livres à 5) + ajuster la taille des images + placement jolie et structurisé sur la page</t>
  </si>
  <si>
    <t>&lt;div
          v-for="book in showAll ? books : books.slice(0, 5)"
          :key="book.livre_id"
          class="book-card"
        &gt;</t>
  </si>
  <si>
    <t>PageAcceuil( Title et description ) + ajout de founction showAll pour donner la posibilite de montrer tous les livres ou juste 5 premiers + modification des titres et du text explicatif + (CSS) pour chque de ces étap, transformation des "px" en "em" pour faire un design responsive ; App.vue (CSS)</t>
  </si>
  <si>
    <t>Création de css pour la page des categories</t>
  </si>
  <si>
    <t>Création de css pour la page des livres d'une "category"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</si>
</sst>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63">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0.34375</c:v>
                </c:pt>
                <c:pt idx="2">
                  <c:v>0</c:v>
                </c:pt>
                <c:pt idx="3">
                  <c:v>4.1666666666666664E-2</c:v>
                </c:pt>
                <c:pt idx="4">
                  <c:v>2.0833333333333332E-2</c:v>
                </c:pt>
                <c:pt idx="5">
                  <c:v>0</c:v>
                </c:pt>
                <c:pt idx="6">
                  <c:v>5.5555555555555552E-2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24" activePane="bottomLeft" state="frozen"/>
      <selection pane="bottomLeft" activeCell="G32" sqref="G32"/>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61" t="s">
        <v>27</v>
      </c>
      <c r="D2" s="61"/>
      <c r="E2" s="61"/>
      <c r="F2" s="5" t="s">
        <v>2</v>
      </c>
      <c r="G2" s="6" t="s">
        <v>31</v>
      </c>
    </row>
    <row r="3" spans="1:15" ht="23.25" x14ac:dyDescent="0.35">
      <c r="B3" s="5" t="s">
        <v>9</v>
      </c>
      <c r="C3" s="22" t="str">
        <f>INT(E4/1440)&amp;" jours "&amp;INT(MOD(E4/1440,1)*24)&amp;" heurs "&amp;INT(MOD(MOD(E4/1440,1)*24,1)*60)&amp;" minutes"</f>
        <v>0 jours 12 heurs 9 minutes</v>
      </c>
      <c r="D3" s="22"/>
      <c r="E3" s="3"/>
      <c r="F3" s="4" t="s">
        <v>10</v>
      </c>
      <c r="G3" s="7" t="s">
        <v>28</v>
      </c>
    </row>
    <row r="4" spans="1:15" ht="23.25" hidden="1" x14ac:dyDescent="0.35">
      <c r="B4" s="5"/>
      <c r="C4" s="22">
        <f>SUBTOTAL(9,$C$7:$C$531)*60</f>
        <v>120</v>
      </c>
      <c r="D4" s="22">
        <f>SUBTOTAL(9,$D$7:$D$531)</f>
        <v>610</v>
      </c>
      <c r="E4" s="40">
        <f>SUM(C4:D4)</f>
        <v>730</v>
      </c>
      <c r="F4" s="4"/>
      <c r="G4" s="7"/>
    </row>
    <row r="5" spans="1:15" x14ac:dyDescent="0.25">
      <c r="C5" s="62" t="s">
        <v>16</v>
      </c>
      <c r="D5" s="62"/>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ht="31.5" x14ac:dyDescent="0.25">
      <c r="A21" s="16">
        <f>IF(ISBLANK(B21),"",_xlfn.ISOWEEKNUM('Journal de travail'!$B21))</f>
        <v>18</v>
      </c>
      <c r="B21" s="50">
        <v>45777</v>
      </c>
      <c r="C21" s="51"/>
      <c r="D21" s="52">
        <v>20</v>
      </c>
      <c r="E21" s="53" t="s">
        <v>4</v>
      </c>
      <c r="F21" s="36" t="s">
        <v>48</v>
      </c>
      <c r="G21" s="56" t="s">
        <v>49</v>
      </c>
    </row>
    <row r="22" spans="1:15" x14ac:dyDescent="0.25">
      <c r="A22" s="8">
        <f>IF(ISBLANK(B22),"",_xlfn.ISOWEEKNUM('Journal de travail'!$B22))</f>
        <v>18</v>
      </c>
      <c r="B22" s="46">
        <v>45777</v>
      </c>
      <c r="C22" s="47"/>
      <c r="D22" s="48">
        <v>5</v>
      </c>
      <c r="E22" s="49" t="s">
        <v>21</v>
      </c>
      <c r="F22" s="36" t="s">
        <v>50</v>
      </c>
      <c r="G22" s="55"/>
    </row>
    <row r="23" spans="1:15" x14ac:dyDescent="0.25">
      <c r="A23" s="16">
        <f>IF(ISBLANK(B23),"",_xlfn.ISOWEEKNUM('Journal de travail'!$B23))</f>
        <v>18</v>
      </c>
      <c r="B23" s="50">
        <v>45777</v>
      </c>
      <c r="C23" s="51"/>
      <c r="D23" s="52">
        <v>5</v>
      </c>
      <c r="E23" s="53" t="s">
        <v>21</v>
      </c>
      <c r="F23" s="36" t="s">
        <v>51</v>
      </c>
      <c r="G23" s="56" t="s">
        <v>52</v>
      </c>
    </row>
    <row r="24" spans="1:15" x14ac:dyDescent="0.25">
      <c r="A24" s="8">
        <f>IF(ISBLANK(B24),"",_xlfn.ISOWEEKNUM('Journal de travail'!$B24))</f>
        <v>18</v>
      </c>
      <c r="B24" s="46">
        <v>45777</v>
      </c>
      <c r="C24" s="47">
        <v>1</v>
      </c>
      <c r="D24" s="48">
        <v>30</v>
      </c>
      <c r="E24" s="49" t="s">
        <v>4</v>
      </c>
      <c r="F24" s="36" t="s">
        <v>46</v>
      </c>
      <c r="G24" s="55"/>
    </row>
    <row r="25" spans="1:15" ht="31.5" x14ac:dyDescent="0.25">
      <c r="A25" s="16">
        <f>IF(ISBLANK(B25),"",_xlfn.ISOWEEKNUM('Journal de travail'!$B25))</f>
        <v>18</v>
      </c>
      <c r="B25" s="50">
        <v>45777</v>
      </c>
      <c r="C25" s="51"/>
      <c r="D25" s="52">
        <v>20</v>
      </c>
      <c r="E25" s="53" t="s">
        <v>6</v>
      </c>
      <c r="F25" s="36" t="s">
        <v>47</v>
      </c>
      <c r="G25" s="56"/>
    </row>
    <row r="26" spans="1:15" x14ac:dyDescent="0.25">
      <c r="A26" s="8" t="str">
        <f>IF(ISBLANK(B26),"",_xlfn.ISOWEEKNUM('Journal de travail'!$B26))</f>
        <v/>
      </c>
      <c r="B26" s="46"/>
      <c r="C26" s="57"/>
      <c r="D26" s="58"/>
      <c r="E26" s="59" t="s">
        <v>58</v>
      </c>
      <c r="F26" s="60"/>
      <c r="G26" s="55" t="s">
        <v>57</v>
      </c>
    </row>
    <row r="27" spans="1:15" x14ac:dyDescent="0.25">
      <c r="A27" s="16" t="str">
        <f>IF(ISBLANK(B27),"",_xlfn.ISOWEEKNUM('Journal de travail'!$B27))</f>
        <v/>
      </c>
      <c r="B27" s="50"/>
      <c r="C27" s="57"/>
      <c r="D27" s="58"/>
      <c r="E27" s="59" t="s">
        <v>58</v>
      </c>
      <c r="F27" s="60"/>
      <c r="G27" s="56" t="s">
        <v>57</v>
      </c>
    </row>
    <row r="28" spans="1:15" x14ac:dyDescent="0.25">
      <c r="A28" s="8">
        <f>IF(ISBLANK(B28),"",_xlfn.ISOWEEKNUM('Journal de travail'!$B28))</f>
        <v>19</v>
      </c>
      <c r="B28" s="46">
        <v>45783</v>
      </c>
      <c r="C28" s="47"/>
      <c r="D28" s="48">
        <v>40</v>
      </c>
      <c r="E28" s="49" t="s">
        <v>4</v>
      </c>
      <c r="F28" s="35" t="s">
        <v>53</v>
      </c>
      <c r="G28" s="55" t="s">
        <v>56</v>
      </c>
    </row>
    <row r="29" spans="1:15" x14ac:dyDescent="0.25">
      <c r="A29" s="16">
        <f>IF(ISBLANK(B29),"",_xlfn.ISOWEEKNUM('Journal de travail'!$B29))</f>
        <v>19</v>
      </c>
      <c r="B29" s="50">
        <v>45783</v>
      </c>
      <c r="C29" s="51"/>
      <c r="D29" s="52" t="s">
        <v>54</v>
      </c>
      <c r="E29" s="53" t="s">
        <v>4</v>
      </c>
      <c r="F29" s="35" t="s">
        <v>66</v>
      </c>
      <c r="G29" s="56" t="s">
        <v>55</v>
      </c>
    </row>
    <row r="30" spans="1:15" ht="31.5" x14ac:dyDescent="0.25">
      <c r="A30" s="8">
        <f>IF(ISBLANK(B30),"",_xlfn.ISOWEEKNUM('Journal de travail'!$B30))</f>
        <v>19</v>
      </c>
      <c r="B30" s="46">
        <v>45783</v>
      </c>
      <c r="C30" s="47"/>
      <c r="D30" s="48">
        <v>30</v>
      </c>
      <c r="E30" s="49" t="s">
        <v>4</v>
      </c>
      <c r="F30" s="36" t="s">
        <v>60</v>
      </c>
      <c r="G30" s="55" t="s">
        <v>59</v>
      </c>
    </row>
    <row r="31" spans="1:15" x14ac:dyDescent="0.25">
      <c r="A31" s="16">
        <f>IF(ISBLANK(B31),"",_xlfn.ISOWEEKNUM('Journal de travail'!$B31))</f>
        <v>19</v>
      </c>
      <c r="B31" s="50">
        <v>45783</v>
      </c>
      <c r="C31" s="51"/>
      <c r="D31" s="52">
        <v>30</v>
      </c>
      <c r="E31" s="53" t="s">
        <v>4</v>
      </c>
      <c r="F31" s="35" t="s">
        <v>62</v>
      </c>
      <c r="G31" s="56" t="s">
        <v>61</v>
      </c>
    </row>
    <row r="32" spans="1:15" ht="173.25" x14ac:dyDescent="0.25">
      <c r="A32" s="8">
        <f>IF(ISBLANK(B32),"",_xlfn.ISOWEEKNUM('Journal de travail'!$B32))</f>
        <v>19</v>
      </c>
      <c r="B32" s="46">
        <v>45783</v>
      </c>
      <c r="C32" s="47"/>
      <c r="D32" s="48">
        <v>15</v>
      </c>
      <c r="E32" s="49" t="s">
        <v>4</v>
      </c>
      <c r="F32" s="36" t="s">
        <v>64</v>
      </c>
      <c r="G32" s="55" t="s">
        <v>63</v>
      </c>
    </row>
    <row r="33" spans="1:7" x14ac:dyDescent="0.25">
      <c r="A33" s="16">
        <f>IF(ISBLANK(B33),"",_xlfn.ISOWEEKNUM('Journal de travail'!$B33))</f>
        <v>19</v>
      </c>
      <c r="B33" s="50">
        <v>45783</v>
      </c>
      <c r="C33" s="51"/>
      <c r="D33" s="52">
        <v>10</v>
      </c>
      <c r="E33" s="53" t="s">
        <v>4</v>
      </c>
      <c r="F33" s="35" t="s">
        <v>65</v>
      </c>
      <c r="G33" s="56" t="s">
        <v>56</v>
      </c>
    </row>
    <row r="34" spans="1:7" x14ac:dyDescent="0.25">
      <c r="A34" s="8">
        <f>IF(ISBLANK(B34),"",_xlfn.ISOWEEKNUM('Journal de travail'!$B34))</f>
        <v>19</v>
      </c>
      <c r="B34" s="46">
        <v>45783</v>
      </c>
      <c r="C34" s="47"/>
      <c r="D34" s="48">
        <v>20</v>
      </c>
      <c r="E34" s="49" t="s">
        <v>6</v>
      </c>
      <c r="F34" s="35" t="s">
        <v>47</v>
      </c>
      <c r="G34" s="55"/>
    </row>
    <row r="35" spans="1:7" ht="31.5" x14ac:dyDescent="0.25">
      <c r="A35" s="16">
        <f>IF(ISBLANK(B35),"",_xlfn.ISOWEEKNUM('Journal de travail'!$B35))</f>
        <v>19</v>
      </c>
      <c r="B35" s="50">
        <v>45784</v>
      </c>
      <c r="C35" s="51"/>
      <c r="D35" s="52">
        <v>30</v>
      </c>
      <c r="E35" s="53" t="s">
        <v>4</v>
      </c>
      <c r="F35" s="36" t="s">
        <v>68</v>
      </c>
      <c r="G35" s="56" t="s">
        <v>67</v>
      </c>
    </row>
    <row r="36" spans="1:7" ht="78.75" x14ac:dyDescent="0.25">
      <c r="A36" s="8">
        <f>IF(ISBLANK(B36),"",_xlfn.ISOWEEKNUM('Journal de travail'!$B36))</f>
        <v>19</v>
      </c>
      <c r="B36" s="46">
        <v>45784</v>
      </c>
      <c r="C36" s="47">
        <v>1</v>
      </c>
      <c r="D36" s="48">
        <v>30</v>
      </c>
      <c r="E36" s="49" t="s">
        <v>4</v>
      </c>
      <c r="F36" s="35" t="s">
        <v>70</v>
      </c>
      <c r="G36" s="55" t="s">
        <v>69</v>
      </c>
    </row>
    <row r="37" spans="1:7" x14ac:dyDescent="0.25">
      <c r="A37" s="16">
        <f>IF(ISBLANK(B37),"",_xlfn.ISOWEEKNUM('Journal de travail'!$B37))</f>
        <v>19</v>
      </c>
      <c r="B37" s="50">
        <v>45784</v>
      </c>
      <c r="C37" s="51"/>
      <c r="D37" s="52">
        <v>30</v>
      </c>
      <c r="E37" s="53" t="s">
        <v>4</v>
      </c>
      <c r="F37" s="35" t="s">
        <v>71</v>
      </c>
      <c r="G37" s="56"/>
    </row>
    <row r="38" spans="1:7" x14ac:dyDescent="0.25">
      <c r="A38" s="8">
        <f>IF(ISBLANK(B38),"",_xlfn.ISOWEEKNUM('Journal de travail'!$B38))</f>
        <v>19</v>
      </c>
      <c r="B38" s="46">
        <v>45784</v>
      </c>
      <c r="C38" s="47"/>
      <c r="D38" s="48">
        <v>30</v>
      </c>
      <c r="E38" s="49" t="s">
        <v>4</v>
      </c>
      <c r="F38" s="35" t="s">
        <v>72</v>
      </c>
      <c r="G38" s="55"/>
    </row>
    <row r="39" spans="1:7" x14ac:dyDescent="0.25">
      <c r="A39" s="16">
        <f>IF(ISBLANK(B39),"",_xlfn.ISOWEEKNUM('Journal de travail'!$B39))</f>
        <v>19</v>
      </c>
      <c r="B39" s="50">
        <v>45784</v>
      </c>
      <c r="C39" s="51"/>
      <c r="D39" s="52">
        <v>20</v>
      </c>
      <c r="E39" s="53" t="s">
        <v>6</v>
      </c>
      <c r="F39" s="35" t="s">
        <v>47</v>
      </c>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28:E532 E7:E25">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28:C532 C7:C25" xr:uid="{9D52E29F-610D-40B2-B3CC-F94A741DD978}">
      <formula1>$N$7:$N$15</formula1>
    </dataValidation>
    <dataValidation type="list" allowBlank="1" showInputMessage="1" showErrorMessage="1" sqref="D28:D532 D7:D25" xr:uid="{46510F84-8BCC-4BD6-9A19-9F03ACD74D05}">
      <formula1>$O$7:$O$19</formula1>
    </dataValidation>
    <dataValidation type="list" allowBlank="1" showInputMessage="1" showErrorMessage="1" sqref="E28:E532 E7:E25"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120</v>
      </c>
      <c r="B5">
        <f>SUMIF('Journal de travail'!$E$7:$E$532,Analyse!C5,'Journal de travail'!$D$7:$D$532)</f>
        <v>375</v>
      </c>
      <c r="C5" s="41" t="str">
        <f>'Journal de travail'!M9</f>
        <v>Développement</v>
      </c>
      <c r="D5" s="33">
        <f t="shared" ref="D5:D11" si="0">(A5+B5)/1440</f>
        <v>0.34375</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60</v>
      </c>
      <c r="C7" s="27" t="str">
        <f>'Journal de travail'!M11</f>
        <v>Documentation</v>
      </c>
      <c r="D7" s="33">
        <f t="shared" si="0"/>
        <v>4.1666666666666664E-2</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80</v>
      </c>
      <c r="C10" s="37" t="str">
        <f>'Journal de travail'!M14</f>
        <v>Design</v>
      </c>
      <c r="D10" s="33">
        <f t="shared" si="0"/>
        <v>5.5555555555555552E-2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0.50694444444444442</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2025-05-07T09:08:54Z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