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AF490E3-D14D-47EC-98AA-6C35EE0CE89F}"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960" yWindow="540"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<sst xmlns="http://schemas.openxmlformats.org/spreadsheetml/2006/main" count="134" uniqueCount="83">
  <si>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</si>
  <si>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</si>
  <si>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</si>
  <si>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</si>
  <si>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</si>
  <si>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</si>
  <si>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</si>
  <si>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</si>
  <si>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</si>
  <si>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</si>
  <si>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</si>
  <si>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</si>
  <si>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</si>
  <si>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</si>
  <si>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</si>
  <si>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</si>
  <si>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</si>
  <si>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</si>
  <si>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</si>
  <si>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</si>
  <si>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</si>
  <si>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</si>
  <si>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</si>
  <si>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</si>
  <si>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</si>
  <si>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</si>
  <si>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</si>
  <si>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</si>
  <si>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</si>
  <si>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</si>
  <si>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</si>
  <si>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</si>
  <si>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</si>
  <si>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</si>
  <si>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</si>
  <si>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</si>
  <si>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</si>
  <si>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</si>
  <si>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</si>
  <si>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</si>
  <si>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</si>
  <si>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</si>
  <si>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</si>
  <si>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</si>
  <si>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</si>
  <si>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</si>
  <si>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</si>
  <si>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</si>
  <si>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</si>
  <si>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</si>
  <si>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</si>
  <si>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</si>
  <si>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</si>
  <si>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</si>
  <si>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</si>
  <si>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</si>
  <si>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</si>
  <si>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</si>
  <si>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</si>
  <si>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</si>
  <si>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</si>
  <si>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</si>
  <si>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</si>
  <si>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</si>
  <si>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</si>
  <si>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</si>
  <si>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</si>
  <si>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</si>
  <si>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</si>
  <si>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</si>
  <si>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</si>
  <si>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</si>
  <si>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</si>
  <si>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</si>
  <si>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</si>
  <si>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</si>
  <si>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</si>
  <si>
    <t>Update README.md Installation et deploiement+ explication du script</t>
  </si>
  <si>
    <t>Script de démarrage automatique✅; docker compose modification suppresion de app (9999)</t>
  </si>
  <si>
    <t>Gain de temps : plus besoin d'explorer chaque dossier, d'exécuter des commandes individuelles ou de réfléchir à l'ordre de lancement.
- Commodité pour l'équipe : tout développeur peut commencer à travailler rapidement sans comprendre la structure du projet.
- Fiabilité accrue : le risque d'erreur humaine lors du lancement manuel est réduit.</t>
  </si>
  <si>
    <t>Une page d’ajout d’un ouvrage</t>
  </si>
  <si>
    <t>Configuration de multer(pour parce le ficher avec données) upload.js
booksController.js
      // Find or create a writer
      // Find or create a category
      // Create a book
CreateBook.vue
Methode pour resevoir des images depuis une ligne extérieur(URL d'un site externe) , ou depuis le serveur
DOSSIER uploads,qui contien des images charge par utilisateur ,redirection correct vers ce dossier
gitignore</t>
  </si>
  <si>
    <t>Rapport (structure de rapport, WEBOGRAPHIE)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</si>
</sst>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0.56597222222222221</c:v>
                </c:pt>
                <c:pt idx="2">
                  <c:v>0</c:v>
                </c:pt>
                <c:pt idx="3">
                  <c:v>8.3333333333333329E-2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42" activePane="bottomLeft" state="frozen"/>
      <selection pane="bottomLeft" activeCell="F49" sqref="F49"/>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18 heurs 30 minutes</v>
      </c>
      <c r="D3" s="22"/>
      <c r="E3" s="3"/>
      <c r="F3" s="4" t="s">
        <v>10</v>
      </c>
      <c r="G3" s="7" t="s">
        <v>28</v>
      </c>
    </row>
    <row r="4" spans="1:15" ht="23.25" hidden="1" x14ac:dyDescent="0.35">
      <c r="B4" s="5"/>
      <c r="C4" s="22">
        <f>SUBTOTAL(9,$C$7:$C$531)*60</f>
        <v>240</v>
      </c>
      <c r="D4" s="22">
        <f>SUBTOTAL(9,$D$7:$D$531)</f>
        <v>870</v>
      </c>
      <c r="E4" s="40">
        <f>SUM(C4:D4)</f>
        <v>1110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f>IF(ISBLANK(B44),"",_xlfn.ISOWEEKNUM('Journal de travail'!$B44))</f>
        <v>21</v>
      </c>
      <c r="B44" s="46">
        <v>45797</v>
      </c>
      <c r="C44" s="47"/>
      <c r="D44" s="48">
        <v>30</v>
      </c>
      <c r="E44" s="49" t="s">
        <v>6</v>
      </c>
      <c r="F44" s="35" t="s">
        <v>77</v>
      </c>
      <c r="G44" s="55"/>
    </row>
    <row r="45" spans="1:7" ht="110.25" x14ac:dyDescent="0.25">
      <c r="A45" s="16">
        <f>IF(ISBLANK(B45),"",_xlfn.ISOWEEKNUM('Journal de travail'!$B45))</f>
        <v>21</v>
      </c>
      <c r="B45" s="50">
        <v>45797</v>
      </c>
      <c r="C45" s="51"/>
      <c r="D45" s="52">
        <v>40</v>
      </c>
      <c r="E45" s="53" t="s">
        <v>4</v>
      </c>
      <c r="F45" s="35" t="s">
        <v>78</v>
      </c>
      <c r="G45" s="56" t="s">
        <v>79</v>
      </c>
    </row>
    <row r="46" spans="1:7" ht="189" x14ac:dyDescent="0.25">
      <c r="A46" s="8">
        <f>IF(ISBLANK(B46),"",_xlfn.ISOWEEKNUM('Journal de travail'!$B46))</f>
        <v>21</v>
      </c>
      <c r="B46" s="46">
        <v>45797</v>
      </c>
      <c r="C46" s="47">
        <v>1</v>
      </c>
      <c r="D46" s="48">
        <v>50</v>
      </c>
      <c r="E46" s="49" t="s">
        <v>4</v>
      </c>
      <c r="F46" s="35" t="s">
        <v>80</v>
      </c>
      <c r="G46" s="55" t="s">
        <v>81</v>
      </c>
    </row>
    <row r="47" spans="1:7" x14ac:dyDescent="0.25">
      <c r="A47" s="16">
        <f>IF(ISBLANK(B47),"",_xlfn.ISOWEEKNUM('Journal de travail'!$B47))</f>
        <v>21</v>
      </c>
      <c r="B47" s="50">
        <v>45797</v>
      </c>
      <c r="C47" s="51"/>
      <c r="D47" s="52">
        <v>30</v>
      </c>
      <c r="E47" s="53" t="s">
        <v>6</v>
      </c>
      <c r="F47" s="35" t="s">
        <v>82</v>
      </c>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240</v>
      </c>
      <c r="B5">
        <f>SUMIF('Journal de travail'!$E$7:$E$532,Analyse!C5,'Journal de travail'!$D$7:$D$532)</f>
        <v>575</v>
      </c>
      <c r="C5" s="41" t="str">
        <f>'Journal de travail'!M9</f>
        <v>Développement</v>
      </c>
      <c r="D5" s="33">
        <f t="shared" ref="D5:D11" si="0">(A5+B5)/1440</f>
        <v>0.56597222222222221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120</v>
      </c>
      <c r="C7" s="27" t="str">
        <f>'Journal de travail'!M11</f>
        <v>Documentation</v>
      </c>
      <c r="D7" s="33">
        <f t="shared" si="0"/>
        <v>8.3333333333333329E-2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0.77083333333333337</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2025-05-20T15:07:32Z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