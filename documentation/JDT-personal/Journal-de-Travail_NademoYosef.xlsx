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BA8845EA-8031-4A29-A955-AAFDC9C4E249}"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<sst xmlns="http://schemas.openxmlformats.org/spreadsheetml/2006/main" count="101" uniqueCount="66">
  <si>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</si>
  <si>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</si>
  <si>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</si>
  <si>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</si>
  <si>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</si>
  <si>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</si>
  <si>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</si>
  <si>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</si>
  <si>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</si>
  <si>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</si>
  <si>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</si>
  <si>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</si>
  <si>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</si>
  <si>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</si>
  <si>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</si>
  <si>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</si>
  <si>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</si>
  <si>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</si>
  <si>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</si>
  <si>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</si>
  <si>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</si>
  <si>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</si>
  <si>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</si>
  <si>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</si>
  <si>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</si>
  <si>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</si>
  <si>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</si>
  <si>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</si>
  <si>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</si>
  <si>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</si>
  <si>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</si>
  <si>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</si>
  <si>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</si>
  <si>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</si>
  <si>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</si>
  <si>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</si>
  <si>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</si>
  <si>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</si>
  <si>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</si>
  <si>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</si>
  <si>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</si>
  <si>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</si>
  <si>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</si>
  <si>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</si>
  <si>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</si>
  <si>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</si>
  <si>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</si>
  <si>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</si>
  <si>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</si>
  <si>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</si>
  <si>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</si>
  <si>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</si>
  <si>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</si>
  <si>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</si>
  <si>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</si>
  <si>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</si>
  <si>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</si>
  <si>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</si>
  <si>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</si>
  <si>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BackEnd(supprimer un problème avec CORS), installation d paquet npm "cors", importation + autorise toutes les origines; TEST avec des images</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</si>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</sst>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0.21180555555555555</c:v>
                </c:pt>
                <c:pt idx="2">
                  <c:v>0</c:v>
                </c:pt>
                <c:pt idx="3">
                  <c:v>2.7777777777777776E-2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27" activePane="bottomLeft" state="frozen"/>
      <selection pane="bottomLeft" activeCell="G32" sqref="G3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8 heurs 40 minutes</v>
      </c>
      <c r="D3" s="22"/>
      <c r="E3" s="3"/>
      <c r="F3" s="4" t="s">
        <v>10</v>
      </c>
      <c r="G3" s="7" t="s">
        <v>28</v>
      </c>
    </row>
    <row r="4" spans="1:15" ht="23.25" hidden="1" x14ac:dyDescent="0.35">
      <c r="B4" s="5"/>
      <c r="C4" s="22">
        <f>SUBTOTAL(9,$C$7:$C$531)*60</f>
        <v>60</v>
      </c>
      <c r="D4" s="22">
        <f>SUBTOTAL(9,$D$7:$D$531)</f>
        <v>460</v>
      </c>
      <c r="E4" s="40">
        <f>SUM(C4:D4)</f>
        <v>520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59</v>
      </c>
      <c r="G29" s="56" t="s">
        <v>55</v>
      </c>
    </row>
    <row r="30" spans="1:15" ht="31.5" x14ac:dyDescent="0.25">
      <c r="A30" s="8">
        <f>IF(ISBLANK(B30),"",_xlfn.ISOWEEKNUM('Journal de travail'!$B30))</f>
        <v>19</v>
      </c>
      <c r="B30" s="46">
        <v>45783</v>
      </c>
      <c r="C30" s="47"/>
      <c r="D30" s="48">
        <v>30</v>
      </c>
      <c r="E30" s="49" t="s">
        <v>4</v>
      </c>
      <c r="F30" s="36" t="s">
        <v>61</v>
      </c>
      <c r="G30" s="55" t="s">
        <v>60</v>
      </c>
    </row>
    <row r="31" spans="1:15" x14ac:dyDescent="0.25">
      <c r="A31" s="16">
        <f>IF(ISBLANK(B31),"",_xlfn.ISOWEEKNUM('Journal de travail'!$B31))</f>
        <v>19</v>
      </c>
      <c r="B31" s="50">
        <v>45783</v>
      </c>
      <c r="C31" s="51"/>
      <c r="D31" s="52">
        <v>30</v>
      </c>
      <c r="E31" s="53" t="s">
        <v>4</v>
      </c>
      <c r="F31" s="35" t="s">
        <v>63</v>
      </c>
      <c r="G31" s="56" t="s">
        <v>62</v>
      </c>
    </row>
    <row r="32" spans="1:15" ht="173.25" x14ac:dyDescent="0.25">
      <c r="A32" s="8">
        <f>IF(ISBLANK(B32),"",_xlfn.ISOWEEKNUM('Journal de travail'!$B32))</f>
        <v>19</v>
      </c>
      <c r="B32" s="46">
        <v>45783</v>
      </c>
      <c r="C32" s="47"/>
      <c r="D32" s="48">
        <v>15</v>
      </c>
      <c r="E32" s="49" t="s">
        <v>4</v>
      </c>
      <c r="F32" s="36" t="s">
        <v>65</v>
      </c>
      <c r="G32" s="55" t="s">
        <v>64</v>
      </c>
    </row>
    <row r="33" spans="1:7" x14ac:dyDescent="0.25">
      <c r="A33" s="16">
        <f>IF(ISBLANK(B33),"",_xlfn.ISOWEEKNUM('Journal de travail'!$B33))</f>
        <v>19</v>
      </c>
      <c r="B33" s="50">
        <v>45783</v>
      </c>
      <c r="C33" s="51"/>
      <c r="D33" s="52">
        <v>20</v>
      </c>
      <c r="E33" s="53" t="s">
        <v>6</v>
      </c>
      <c r="F33" s="35" t="s">
        <v>47</v>
      </c>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60</v>
      </c>
      <c r="B5">
        <f>SUMIF('Journal de travail'!$E$7:$E$532,Analyse!C5,'Journal de travail'!$D$7:$D$532)</f>
        <v>245</v>
      </c>
      <c r="C5" s="41" t="str">
        <f>'Journal de travail'!M9</f>
        <v>Développement</v>
      </c>
      <c r="D5" s="33">
        <f t="shared" ref="D5:D11" si="0">(A5+B5)/1440</f>
        <v>0.21180555555555555</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40</v>
      </c>
      <c r="C7" s="27" t="str">
        <f>'Journal de travail'!M11</f>
        <v>Documentation</v>
      </c>
      <c r="D7" s="33">
        <f t="shared" si="0"/>
        <v>2.7777777777777776E-2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0.36111111111111105</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2025-05-06T15:05:18Z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