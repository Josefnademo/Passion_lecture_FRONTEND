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042EF548-8797-443A-B6FC-AB096756FF14}"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31890" yWindow="855" windowWidth="24840" windowHeight="1227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<sst xmlns="http://schemas.openxmlformats.org/spreadsheetml/2006/main" count="93" uniqueCount="62">
  <si>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</si>
  <si>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</si>
  <si>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</si>
  <si>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</si>
  <si>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</si>
  <si>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</si>
  <si>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</si>
  <si>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</si>
  <si>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</si>
  <si>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</si>
  <si>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</si>
  <si>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</si>
  <si>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</si>
  <si>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</si>
  <si>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</si>
  <si>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</si>
  <si>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</si>
  <si>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</si>
  <si>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</si>
  <si>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</si>
  <si>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</si>
  <si>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</si>
  <si>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</si>
  <si>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</si>
  <si>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</si>
  <si>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</si>
  <si>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</si>
  <si>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</si>
  <si>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</si>
  <si>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</si>
  <si>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</si>
  <si>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</si>
  <si>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</si>
  <si>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</si>
  <si>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</si>
  <si>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</si>
  <si>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</si>
  <si>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</si>
  <si>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</si>
  <si>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</si>
  <si>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</si>
  <si>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</si>
  <si>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</si>
  <si>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</si>
  <si>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</si>
  <si>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</si>
  <si>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</si>
  <si>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</si>
  <si>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</si>
  <si>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</si>
  <si>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</si>
  <si>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</si>
  <si>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</si>
  <si>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</si>
  <si>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</si>
  <si>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</si>
  <si>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</si>
  <si>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</si>
  <si>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</si>
  <si>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BackEnd(supprimer un problème avec CORS), installation d paquet npm "cors", importation + autorise toutes les origines; TEST avec des images</t>
  </si>
  <si>
    <t>correction du footer et integration correcte dans App.vue</t>
  </si>
  <si>
    <t>FRONTEND(Footer.vue , App.vue , Acceuil.vue)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</si>
</sst>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0.18055555555555555</c:v>
                </c:pt>
                <c:pt idx="2">
                  <c:v>0</c:v>
                </c:pt>
                <c:pt idx="3">
                  <c:v>1.3888888888888888E-2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20" activePane="bottomLeft" state="frozen"/>
      <selection pane="bottomLeft" activeCell="G34" sqref="G34"/>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7 heurs 35 minutes</v>
      </c>
      <c r="D3" s="22"/>
      <c r="E3" s="3"/>
      <c r="F3" s="4" t="s">
        <v>10</v>
      </c>
      <c r="G3" s="7" t="s">
        <v>28</v>
      </c>
    </row>
    <row r="4" spans="1:15" ht="23.25" hidden="1" x14ac:dyDescent="0.35">
      <c r="B4" s="5"/>
      <c r="C4" s="22">
        <f>SUBTOTAL(9,$C$7:$C$531)*60</f>
        <v>60</v>
      </c>
      <c r="D4" s="22">
        <f>SUBTOTAL(9,$D$7:$D$531)</f>
        <v>395</v>
      </c>
      <c r="E4" s="40">
        <f>SUM(C4:D4)</f>
        <v>455</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59</v>
      </c>
      <c r="G29" s="56" t="s">
        <v>55</v>
      </c>
    </row>
    <row r="30" spans="1:15" x14ac:dyDescent="0.25">
      <c r="A30" s="8">
        <f>IF(ISBLANK(B30),"",_xlfn.ISOWEEKNUM('Journal de travail'!$B30))</f>
        <v>19</v>
      </c>
      <c r="B30" s="46">
        <v>45783</v>
      </c>
      <c r="C30" s="47"/>
      <c r="D30" s="48">
        <v>30</v>
      </c>
      <c r="E30" s="49" t="s">
        <v>4</v>
      </c>
      <c r="F30" s="36" t="s">
        <v>60</v>
      </c>
      <c r="G30" s="55" t="s">
        <v>61</v>
      </c>
    </row>
    <row r="31" spans="1:15" x14ac:dyDescent="0.25">
      <c r="A31" s="16">
        <f>IF(ISBLANK(B31),"",_xlfn.ISOWEEKNUM('Journal de travail'!$B31))</f>
        <v>19</v>
      </c>
      <c r="B31" s="50">
        <v>45783</v>
      </c>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60</v>
      </c>
      <c r="B5">
        <f>SUMIF('Journal de travail'!$E$7:$E$532,Analyse!C5,'Journal de travail'!$D$7:$D$532)</f>
        <v>200</v>
      </c>
      <c r="C5" s="41" t="str">
        <f>'Journal de travail'!M9</f>
        <v>Développement</v>
      </c>
      <c r="D5" s="33">
        <f t="shared" ref="D5:D11" si="0">(A5+B5)/1440</f>
        <v>0.18055555555555555</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20</v>
      </c>
      <c r="C7" s="27" t="str">
        <f>'Journal de travail'!M11</f>
        <v>Documentation</v>
      </c>
      <c r="D7" s="33">
        <f t="shared" si="0"/>
        <v>1.3888888888888888E-2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0.31597222222222221</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2025-05-06T14:18:09Z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