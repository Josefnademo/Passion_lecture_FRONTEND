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C8583610-6C01-4017-A180-99C134C67888}"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<sst xmlns="http://schemas.openxmlformats.org/spreadsheetml/2006/main" count="59" uniqueCount="43">
  <si>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</si>
  <si>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</si>
  <si>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</si>
  <si>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</si>
  <si>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</si>
  <si>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</si>
  <si>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</si>
  <si>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</si>
  <si>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</si>
  <si>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</si>
  <si>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</si>
  <si>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</si>
  <si>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</si>
  <si>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</si>
  <si>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</si>
  <si>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</si>
  <si>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</si>
  <si>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</si>
  <si>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</si>
  <si>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</si>
  <si>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</si>
  <si>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</si>
  <si>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</si>
  <si>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</si>
  <si>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</si>
  <si>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</si>
  <si>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</si>
  <si>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</si>
  <si>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</si>
  <si>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</si>
  <si>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</si>
  <si>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</si>
  <si>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</si>
  <si>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</si>
  <si>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</si>
  <si>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</si>
  <si>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construction du docker(création des fichiers .env, .yml, .dockerfile pour avoir l'environnement nécessaire au développement de l'application web.)</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</si>
  <si>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</si>
  <si>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</si>
  <si>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</si>
  <si>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IN PROGRESS 🚧⏳🔄🔜</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</si>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</sst>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3.4722222222222224E-2</c:v>
                </c:pt>
                <c:pt idx="2">
                  <c:v>0</c:v>
                </c:pt>
                <c:pt idx="3">
                  <c:v>0</c:v>
                </c:pt>
                <c:pt idx="4">
                  <c:v>2.0833333333333332E-2</c:v>
                </c:pt>
                <c:pt idx="5">
                  <c:v>0</c:v>
                </c:pt>
                <c:pt idx="6">
                  <c:v>3.4722222222222224E-2</c:v>
                </c:pt>
                <c:pt idx="7">
                  <c:v>2.7777777777777776E-2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7" activePane="bottomLeft" state="frozen"/>
      <selection pane="bottomLeft" activeCell="G17" sqref="G17"/>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3 heurs 10 minutes</v>
      </c>
      <c r="D3" s="22"/>
      <c r="E3" s="3"/>
      <c r="F3" s="4" t="s">
        <v>10</v>
      </c>
      <c r="G3" s="7" t="s">
        <v>28</v>
      </c>
    </row>
    <row r="4" spans="1:15" ht="23.25" hidden="1" x14ac:dyDescent="0.35">
      <c r="B4" s="5"/>
      <c r="C4" s="22">
        <f>SUBTOTAL(9,$C$7:$C$531)*60</f>
        <v>0</v>
      </c>
      <c r="D4" s="22">
        <f>SUBTOTAL(9,$D$7:$D$531)</f>
        <v>190</v>
      </c>
      <c r="E4" s="40">
        <f>SUM(C4:D4)</f>
        <v>190</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31.5" x14ac:dyDescent="0.25">
      <c r="A13" s="16">
        <f>IF(ISBLANK(B13),"",_xlfn.ISOWEEKNUM('Journal de travail'!$B13))</f>
        <v>15</v>
      </c>
      <c r="B13" s="50">
        <v>45756</v>
      </c>
      <c r="C13" s="51"/>
      <c r="D13" s="52">
        <v>50</v>
      </c>
      <c r="E13" s="53" t="s">
        <v>4</v>
      </c>
      <c r="F13" s="36" t="s">
        <v>36</v>
      </c>
      <c r="G13" s="56" t="s">
        <v>40</v>
      </c>
      <c r="M13" t="s">
        <v>8</v>
      </c>
      <c r="N13">
        <v>6</v>
      </c>
      <c r="O13">
        <v>25</v>
      </c>
    </row>
    <row r="14" spans="1:15" x14ac:dyDescent="0.25">
      <c r="A14" s="8">
        <f>IF(ISBLANK(B14),"",_xlfn.ISOWEEKNUM('Journal de travail'!$B14))</f>
        <v>15</v>
      </c>
      <c r="B14" s="46">
        <v>45756</v>
      </c>
      <c r="C14" s="47"/>
      <c r="D14" s="48">
        <v>5</v>
      </c>
      <c r="E14" s="49" t="s">
        <v>22</v>
      </c>
      <c r="F14" s="36" t="s">
        <v>37</v>
      </c>
      <c r="G14" s="55" t="s">
        <v>42</v>
      </c>
      <c r="M14" t="s">
        <v>21</v>
      </c>
      <c r="N14">
        <v>7</v>
      </c>
      <c r="O14">
        <v>30</v>
      </c>
    </row>
    <row r="15" spans="1:15" x14ac:dyDescent="0.25">
      <c r="A15" s="16">
        <f>IF(ISBLANK(B15),"",_xlfn.ISOWEEKNUM('Journal de travail'!$B15))</f>
        <v>15</v>
      </c>
      <c r="B15" s="50">
        <v>45756</v>
      </c>
      <c r="C15" s="51"/>
      <c r="D15" s="52">
        <v>5</v>
      </c>
      <c r="E15" s="53" t="s">
        <v>22</v>
      </c>
      <c r="F15" s="36" t="s">
        <v>38</v>
      </c>
      <c r="G15" s="56" t="s">
        <v>42</v>
      </c>
      <c r="M15" t="s">
        <v>22</v>
      </c>
      <c r="N15">
        <v>8</v>
      </c>
      <c r="O15">
        <v>35</v>
      </c>
    </row>
    <row r="16" spans="1:15" ht="47.25" x14ac:dyDescent="0.25">
      <c r="A16" s="8">
        <f>IF(ISBLANK(B16),"",_xlfn.ISOWEEKNUM('Journal de travail'!$B16))</f>
        <v>15</v>
      </c>
      <c r="B16" s="46">
        <v>45756</v>
      </c>
      <c r="C16" s="47"/>
      <c r="D16" s="48">
        <v>5</v>
      </c>
      <c r="E16" s="49" t="s">
        <v>22</v>
      </c>
      <c r="F16" s="36" t="s">
        <v>39</v>
      </c>
      <c r="G16" s="55" t="s">
        <v>42</v>
      </c>
      <c r="O16">
        <v>40</v>
      </c>
    </row>
    <row r="17" spans="1:15" ht="47.25" x14ac:dyDescent="0.25">
      <c r="A17" s="16">
        <f>IF(ISBLANK(B17),"",_xlfn.ISOWEEKNUM('Journal de travail'!$B17))</f>
        <v>15</v>
      </c>
      <c r="B17" s="50">
        <v>45756</v>
      </c>
      <c r="C17" s="51"/>
      <c r="D17" s="52">
        <v>5</v>
      </c>
      <c r="E17" s="53" t="s">
        <v>22</v>
      </c>
      <c r="F17" s="36" t="s">
        <v>41</v>
      </c>
      <c r="G17" s="56" t="s">
        <v>42</v>
      </c>
      <c r="O17">
        <v>45</v>
      </c>
    </row>
    <row r="18" spans="1:15" x14ac:dyDescent="0.25">
      <c r="A18" s="8" t="str">
        <f>IF(ISBLANK(B18),"",_xlfn.ISOWEEKNUM('Journal de travail'!$B18))</f>
        <v/>
      </c>
      <c r="B18" s="46"/>
      <c r="C18" s="47"/>
      <c r="D18" s="48"/>
      <c r="E18" s="49"/>
      <c r="F18" s="36"/>
      <c r="G18" s="55"/>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0</v>
      </c>
      <c r="B5">
        <f>SUMIF('Journal de travail'!$E$7:$E$532,Analyse!C5,'Journal de travail'!$D$7:$D$532)</f>
        <v>50</v>
      </c>
      <c r="C5" s="41" t="str">
        <f>'Journal de travail'!M9</f>
        <v>Développement</v>
      </c>
      <c r="D5" s="33">
        <f t="shared" ref="D5:D11" si="0">(A5+B5)/1440</f>
        <v>3.4722222222222224E-2</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50</v>
      </c>
      <c r="C10" s="37" t="str">
        <f>'Journal de travail'!M14</f>
        <v>Design</v>
      </c>
      <c r="D10" s="33">
        <f t="shared" si="0"/>
        <v>3.4722222222222224E-2</v>
      </c>
    </row>
    <row r="11" spans="1:4" x14ac:dyDescent="0.3">
      <c r="A11">
        <f>SUMIF('Journal de travail'!$E$7:$E$532,Analyse!C11,'Journal de travail'!$C$7:$C$532)*60</f>
        <v>0</v>
      </c>
      <c r="B11">
        <f>SUMIF('Journal de travail'!$E$7:$E$532,Analyse!C11,'Journal de travail'!$D$7:$D$532)</f>
        <v>40</v>
      </c>
      <c r="C11" s="39" t="str">
        <f>'Journal de travail'!M15</f>
        <v>Autre</v>
      </c>
      <c r="D11" s="33">
        <f t="shared" si="0"/>
        <v>2.7777777777777776E-2</v>
      </c>
    </row>
    <row r="12" spans="1:4" x14ac:dyDescent="0.3">
      <c r="C12" s="23" t="s">
        <v>20</v>
      </c>
      <c r="D12" s="34">
        <f>SUM(D4:D11)</f>
        <v>0.13194444444444445</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2025-04-09T06:49:39Z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