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FF7CC97D-22DF-40A1-ADAE-BE21EABBB4BF}"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9535" yWindow="525" windowWidth="23520" windowHeight="1423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<sst xmlns="http://schemas.openxmlformats.org/spreadsheetml/2006/main" count="152" uniqueCount="93">
  <si>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</si>
  <si>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</si>
  <si>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</si>
  <si>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</si>
  <si>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</si>
  <si>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</si>
  <si>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</si>
  <si>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</si>
  <si>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</si>
  <si>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</si>
  <si>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</si>
  <si>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</si>
  <si>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</si>
  <si>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</si>
  <si>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</si>
  <si>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</si>
  <si>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</si>
  <si>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</si>
  <si>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</si>
  <si>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</si>
  <si>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</si>
  <si>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</si>
  <si>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</si>
  <si>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</si>
  <si>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</si>
  <si>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</si>
  <si>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</si>
  <si>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</si>
  <si>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</si>
  <si>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</si>
  <si>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</si>
  <si>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</si>
  <si>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</si>
  <si>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</si>
  <si>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</si>
  <si>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</si>
  <si>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</si>
  <si>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</si>
  <si>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</si>
  <si>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</si>
  <si>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</si>
  <si>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</si>
  <si>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</si>
  <si>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</si>
  <si>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</si>
  <si>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</si>
  <si>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</si>
  <si>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</si>
  <si>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</si>
  <si>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</si>
  <si>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</si>
  <si>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</si>
  <si>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</si>
  <si>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</si>
  <si>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</si>
  <si>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</si>
  <si>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</si>
  <si>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</si>
  <si>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</si>
  <si>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</si>
  <si>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</si>
  <si>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</si>
  <si>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</si>
  <si>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</si>
  <si>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</si>
  <si>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</si>
  <si>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</si>
  <si>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</si>
  <si>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</si>
  <si>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</si>
  <si>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</si>
  <si>
    <t>Création de css pour la page des categories</t>
  </si>
  <si>
    <t>Création de css pour la page des livres d'une "category"</t>
  </si>
  <si>
    <t>Page d'ajout d'un ouvrage( creation de template)</t>
  </si>
  <si>
    <t>Page d'ajout d'un ouvrage (transfering data vers API et db)script; utilisation le user qui est dans JWT token, creation de methode</t>
  </si>
  <si>
    <t xml:space="preserve">
CSS pour une page d’ajout d’un ouvrage (accès utilisateur)</t>
  </si>
  <si>
    <t>creation du methode qui gere ajouter des images</t>
  </si>
  <si>
    <t>Update README.md Installation et deploiement+ explication du script</t>
  </si>
  <si>
    <t>Script de démarrage automatique✅; docker compose modification suppresion de app (9999)</t>
  </si>
  <si>
    <t>Gain de temps : plus besoin d'explorer chaque dossier, d'exécuter des commandes individuelles ou de réfléchir à l'ordre de lancement.
- Commodité pour l'équipe : tout développeur peut commencer à travailler rapidement sans comprendre la structure du projet.
- Fiabilité accrue : le risque d'erreur humaine lors du lancement manuel est réduit.</t>
  </si>
  <si>
    <t>Une page d’ajout d’un ouvrage</t>
  </si>
  <si>
    <t>Configuration de multer(pour parce le ficher avec données) upload.js
booksController.js
      // Find or create a writer
      // Find or create a category
      // Create a book
CreateBook.vue
Methode pour resevoir des images depuis une ligne extérieur(URL d'un site externe) , ou depuis le serveur
DOSSIER uploads,qui contien des images charge par utilisateur ,redirection correct vers ce dossier
gitignore</t>
  </si>
  <si>
    <t>Rapport (structure de rapport, WEBOGRAPHIE)</t>
  </si>
  <si>
    <t>Rapport (structure ,intorduction,2	ANALYSE 2.1	Planification de toutes les tâches à réaliser Planification des tâches (outil GitHub Projects))</t>
  </si>
  <si>
    <t>ANALYSE :Planification des tâches (outil GitHub Projects)</t>
  </si>
  <si>
    <t>Réalisation (sécurité, fonctionnalités techniques, gestion Git/GitHub).</t>
  </si>
  <si>
    <t>Schéma de l’architecture représentant les interactions entre le
frontend et le backend tout en situant les différents composants (API
REST, la base de données, l’ORM, etc)</t>
  </si>
  <si>
    <t>diagram.png</t>
  </si>
  <si>
    <t>Rapport(WEBOGRAPHIE ; ANNEXES)</t>
  </si>
  <si>
    <t>EditPage debuggin; BooksController</t>
  </si>
  <si>
    <t>booksController getBookById</t>
  </si>
  <si>
    <t>trest de tout les functionalitées</t>
  </si>
  <si>
    <t>evaluation avec prof, verification d'application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</si>
</sst>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0.59375</c:v>
                </c:pt>
                <c:pt idx="2">
                  <c:v>1.3888888888888888E-2</c:v>
                </c:pt>
                <c:pt idx="3">
                  <c:v>0.15972222222222221</c:v>
                </c:pt>
                <c:pt idx="4">
                  <c:v>3.8194444444444448E-2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46" activePane="bottomLeft" state="frozen"/>
      <selection pane="bottomLeft" activeCell="F56" sqref="F56"/>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21 heurs 45 minutes</v>
      </c>
      <c r="D3" s="22"/>
      <c r="E3" s="3"/>
      <c r="F3" s="4" t="s">
        <v>10</v>
      </c>
      <c r="G3" s="7" t="s">
        <v>28</v>
      </c>
    </row>
    <row r="4" spans="1:15" ht="23.25" hidden="1" x14ac:dyDescent="0.35">
      <c r="B4" s="5"/>
      <c r="C4" s="22">
        <f>SUBTOTAL(9,$C$7:$C$531)*60</f>
        <v>240</v>
      </c>
      <c r="D4" s="22">
        <f>SUBTOTAL(9,$D$7:$D$531)</f>
        <v>1065</v>
      </c>
      <c r="E4" s="40">
        <f>SUM(C4:D4)</f>
        <v>1305</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f>IF(ISBLANK(B37),"",_xlfn.ISOWEEKNUM('Journal de travail'!$B37))</f>
        <v>19</v>
      </c>
      <c r="B37" s="50">
        <v>45784</v>
      </c>
      <c r="C37" s="51"/>
      <c r="D37" s="52">
        <v>30</v>
      </c>
      <c r="E37" s="53" t="s">
        <v>4</v>
      </c>
      <c r="F37" s="35" t="s">
        <v>71</v>
      </c>
      <c r="G37" s="56"/>
    </row>
    <row r="38" spans="1:7" x14ac:dyDescent="0.25">
      <c r="A38" s="8">
        <f>IF(ISBLANK(B38),"",_xlfn.ISOWEEKNUM('Journal de travail'!$B38))</f>
        <v>19</v>
      </c>
      <c r="B38" s="46">
        <v>45784</v>
      </c>
      <c r="C38" s="47"/>
      <c r="D38" s="48">
        <v>30</v>
      </c>
      <c r="E38" s="49" t="s">
        <v>4</v>
      </c>
      <c r="F38" s="35" t="s">
        <v>72</v>
      </c>
      <c r="G38" s="55"/>
    </row>
    <row r="39" spans="1:7" x14ac:dyDescent="0.25">
      <c r="A39" s="16">
        <f>IF(ISBLANK(B39),"",_xlfn.ISOWEEKNUM('Journal de travail'!$B39))</f>
        <v>19</v>
      </c>
      <c r="B39" s="50">
        <v>45784</v>
      </c>
      <c r="C39" s="51"/>
      <c r="D39" s="52">
        <v>20</v>
      </c>
      <c r="E39" s="53" t="s">
        <v>6</v>
      </c>
      <c r="F39" s="35" t="s">
        <v>47</v>
      </c>
      <c r="G39" s="56"/>
    </row>
    <row r="40" spans="1:7" x14ac:dyDescent="0.25">
      <c r="A40" s="8">
        <f>IF(ISBLANK(B40),"",_xlfn.ISOWEEKNUM('Journal de travail'!$B40))</f>
        <v>20</v>
      </c>
      <c r="B40" s="46">
        <v>45790</v>
      </c>
      <c r="C40" s="47"/>
      <c r="D40" s="48">
        <v>40</v>
      </c>
      <c r="E40" s="49" t="s">
        <v>4</v>
      </c>
      <c r="F40" s="35" t="s">
        <v>73</v>
      </c>
      <c r="G40" s="55"/>
    </row>
    <row r="41" spans="1:7" x14ac:dyDescent="0.25">
      <c r="A41" s="16">
        <f>IF(ISBLANK(B41),"",_xlfn.ISOWEEKNUM('Journal de travail'!$B41))</f>
        <v>20</v>
      </c>
      <c r="B41" s="50">
        <v>45790</v>
      </c>
      <c r="C41" s="51">
        <v>1</v>
      </c>
      <c r="D41" s="52">
        <v>10</v>
      </c>
      <c r="E41" s="53" t="s">
        <v>4</v>
      </c>
      <c r="F41" s="35" t="s">
        <v>74</v>
      </c>
      <c r="G41" s="56"/>
    </row>
    <row r="42" spans="1:7" ht="31.5" x14ac:dyDescent="0.25">
      <c r="A42" s="8">
        <f>IF(ISBLANK(B42),"",_xlfn.ISOWEEKNUM('Journal de travail'!$B42))</f>
        <v>20</v>
      </c>
      <c r="B42" s="46">
        <v>45790</v>
      </c>
      <c r="C42" s="47"/>
      <c r="D42" s="48">
        <v>30</v>
      </c>
      <c r="E42" s="49" t="s">
        <v>4</v>
      </c>
      <c r="F42" s="36" t="s">
        <v>75</v>
      </c>
      <c r="G42" s="55"/>
    </row>
    <row r="43" spans="1:7" x14ac:dyDescent="0.25">
      <c r="A43" s="16">
        <f>IF(ISBLANK(B43),"",_xlfn.ISOWEEKNUM('Journal de travail'!$B43))</f>
        <v>20</v>
      </c>
      <c r="B43" s="50">
        <v>45790</v>
      </c>
      <c r="C43" s="51"/>
      <c r="D43" s="52">
        <v>30</v>
      </c>
      <c r="E43" s="53" t="s">
        <v>4</v>
      </c>
      <c r="F43" s="35" t="s">
        <v>76</v>
      </c>
      <c r="G43" s="56"/>
    </row>
    <row r="44" spans="1:7" x14ac:dyDescent="0.25">
      <c r="A44" s="8">
        <f>IF(ISBLANK(B44),"",_xlfn.ISOWEEKNUM('Journal de travail'!$B44))</f>
        <v>21</v>
      </c>
      <c r="B44" s="46">
        <v>45797</v>
      </c>
      <c r="C44" s="47"/>
      <c r="D44" s="48">
        <v>30</v>
      </c>
      <c r="E44" s="49" t="s">
        <v>6</v>
      </c>
      <c r="F44" s="35" t="s">
        <v>77</v>
      </c>
      <c r="G44" s="55"/>
    </row>
    <row r="45" spans="1:7" ht="110.25" x14ac:dyDescent="0.25">
      <c r="A45" s="16">
        <f>IF(ISBLANK(B45),"",_xlfn.ISOWEEKNUM('Journal de travail'!$B45))</f>
        <v>21</v>
      </c>
      <c r="B45" s="50">
        <v>45797</v>
      </c>
      <c r="C45" s="51"/>
      <c r="D45" s="52">
        <v>40</v>
      </c>
      <c r="E45" s="53" t="s">
        <v>4</v>
      </c>
      <c r="F45" s="35" t="s">
        <v>78</v>
      </c>
      <c r="G45" s="56" t="s">
        <v>79</v>
      </c>
    </row>
    <row r="46" spans="1:7" ht="189" x14ac:dyDescent="0.25">
      <c r="A46" s="8">
        <f>IF(ISBLANK(B46),"",_xlfn.ISOWEEKNUM('Journal de travail'!$B46))</f>
        <v>21</v>
      </c>
      <c r="B46" s="46">
        <v>45797</v>
      </c>
      <c r="C46" s="47">
        <v>1</v>
      </c>
      <c r="D46" s="48">
        <v>50</v>
      </c>
      <c r="E46" s="49" t="s">
        <v>4</v>
      </c>
      <c r="F46" s="35" t="s">
        <v>80</v>
      </c>
      <c r="G46" s="55" t="s">
        <v>81</v>
      </c>
    </row>
    <row r="47" spans="1:7" x14ac:dyDescent="0.25">
      <c r="A47" s="16">
        <f>IF(ISBLANK(B47),"",_xlfn.ISOWEEKNUM('Journal de travail'!$B47))</f>
        <v>21</v>
      </c>
      <c r="B47" s="50">
        <v>45797</v>
      </c>
      <c r="C47" s="51"/>
      <c r="D47" s="52">
        <v>30</v>
      </c>
      <c r="E47" s="53" t="s">
        <v>6</v>
      </c>
      <c r="F47" s="35" t="s">
        <v>82</v>
      </c>
      <c r="G47" s="56"/>
    </row>
    <row r="48" spans="1:7" x14ac:dyDescent="0.25">
      <c r="A48" s="8">
        <f>IF(ISBLANK(B48),"",_xlfn.ISOWEEKNUM('Journal de travail'!$B48))</f>
        <v>21</v>
      </c>
      <c r="B48" s="46">
        <v>45797</v>
      </c>
      <c r="C48" s="47"/>
      <c r="D48" s="48">
        <v>25</v>
      </c>
      <c r="E48" s="49" t="s">
        <v>6</v>
      </c>
      <c r="F48" s="35" t="s">
        <v>83</v>
      </c>
      <c r="G48" s="55"/>
    </row>
    <row r="49" spans="1:7" x14ac:dyDescent="0.25">
      <c r="A49" s="16">
        <f>IF(ISBLANK(B49),"",_xlfn.ISOWEEKNUM('Journal de travail'!$B49))</f>
        <v>22</v>
      </c>
      <c r="B49" s="50">
        <v>45804</v>
      </c>
      <c r="C49" s="51"/>
      <c r="D49" s="52">
        <v>10</v>
      </c>
      <c r="E49" s="53" t="s">
        <v>6</v>
      </c>
      <c r="F49" s="35" t="s">
        <v>84</v>
      </c>
      <c r="G49" s="56"/>
    </row>
    <row r="50" spans="1:7" x14ac:dyDescent="0.25">
      <c r="A50" s="8">
        <f>IF(ISBLANK(B50),"",_xlfn.ISOWEEKNUM('Journal de travail'!$B50))</f>
        <v>22</v>
      </c>
      <c r="B50" s="46">
        <v>45804</v>
      </c>
      <c r="C50" s="47"/>
      <c r="D50" s="48">
        <v>25</v>
      </c>
      <c r="E50" s="49" t="s">
        <v>6</v>
      </c>
      <c r="F50" s="35" t="s">
        <v>85</v>
      </c>
      <c r="G50" s="55"/>
    </row>
    <row r="51" spans="1:7" ht="47.25" x14ac:dyDescent="0.25">
      <c r="A51" s="16">
        <f>IF(ISBLANK(B51),"",_xlfn.ISOWEEKNUM('Journal de travail'!$B51))</f>
        <v>22</v>
      </c>
      <c r="B51" s="50">
        <v>45804</v>
      </c>
      <c r="C51" s="51"/>
      <c r="D51" s="52">
        <v>25</v>
      </c>
      <c r="E51" s="53" t="s">
        <v>6</v>
      </c>
      <c r="F51" s="36" t="s">
        <v>86</v>
      </c>
      <c r="G51" s="56" t="s">
        <v>87</v>
      </c>
    </row>
    <row r="52" spans="1:7" x14ac:dyDescent="0.25">
      <c r="A52" s="8">
        <f>IF(ISBLANK(B52),"",_xlfn.ISOWEEKNUM('Journal de travail'!$B52))</f>
        <v>22</v>
      </c>
      <c r="B52" s="46">
        <v>45805</v>
      </c>
      <c r="C52" s="47"/>
      <c r="D52" s="48">
        <v>25</v>
      </c>
      <c r="E52" s="49" t="s">
        <v>6</v>
      </c>
      <c r="F52" s="35" t="s">
        <v>88</v>
      </c>
      <c r="G52" s="55"/>
    </row>
    <row r="53" spans="1:7" x14ac:dyDescent="0.25">
      <c r="A53" s="16">
        <f>IF(ISBLANK(B53),"",_xlfn.ISOWEEKNUM('Journal de travail'!$B53))</f>
        <v>22</v>
      </c>
      <c r="B53" s="50">
        <v>45805</v>
      </c>
      <c r="C53" s="51"/>
      <c r="D53" s="52">
        <v>40</v>
      </c>
      <c r="E53" s="53" t="s">
        <v>4</v>
      </c>
      <c r="F53" s="35" t="s">
        <v>89</v>
      </c>
      <c r="G53" s="56" t="s">
        <v>90</v>
      </c>
    </row>
    <row r="54" spans="1:7" x14ac:dyDescent="0.25">
      <c r="A54" s="8">
        <f>IF(ISBLANK(B54),"",_xlfn.ISOWEEKNUM('Journal de travail'!$B54))</f>
        <v>22</v>
      </c>
      <c r="B54" s="46">
        <v>45805</v>
      </c>
      <c r="C54" s="47"/>
      <c r="D54" s="48">
        <v>20</v>
      </c>
      <c r="E54" s="49" t="s">
        <v>5</v>
      </c>
      <c r="F54" s="35" t="s">
        <v>91</v>
      </c>
      <c r="G54" s="55"/>
    </row>
    <row r="55" spans="1:7" x14ac:dyDescent="0.25">
      <c r="A55" s="16">
        <f>IF(ISBLANK(B55),"",_xlfn.ISOWEEKNUM('Journal de travail'!$B55))</f>
        <v>22</v>
      </c>
      <c r="B55" s="50">
        <v>45805</v>
      </c>
      <c r="C55" s="51"/>
      <c r="D55" s="52">
        <v>25</v>
      </c>
      <c r="E55" s="53" t="s">
        <v>7</v>
      </c>
      <c r="F55" s="35" t="s">
        <v>92</v>
      </c>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240</v>
      </c>
      <c r="B5">
        <f>SUMIF('Journal de travail'!$E$7:$E$532,Analyse!C5,'Journal de travail'!$D$7:$D$532)</f>
        <v>615</v>
      </c>
      <c r="C5" s="41" t="str">
        <f>'Journal de travail'!M9</f>
        <v>Développement</v>
      </c>
      <c r="D5" s="33">
        <f t="shared" ref="D5:D11" si="0">(A5+B5)/1440</f>
        <v>0.59375</v>
      </c>
    </row>
    <row r="6" spans="1:4" x14ac:dyDescent="0.3">
      <c r="A6">
        <f>SUMIF('Journal de travail'!$E$7:$E$532,Analyse!C6,'Journal de travail'!$C$7:$C$532)*60</f>
        <v>0</v>
      </c>
      <c r="B6">
        <f>SUMIF('Journal de travail'!$E$7:$E$532,Analyse!C6,'Journal de travail'!$D$7:$D$532)</f>
        <v>20</v>
      </c>
      <c r="C6" s="26" t="str">
        <f>'Journal de travail'!M10</f>
        <v>Test</v>
      </c>
      <c r="D6" s="33">
        <f t="shared" si="0"/>
        <v>1.3888888888888888E-2</v>
      </c>
    </row>
    <row r="7" spans="1:4" x14ac:dyDescent="0.3">
      <c r="A7">
        <f>SUMIF('Journal de travail'!$E$7:$E$532,Analyse!C7,'Journal de travail'!$C$7:$C$532)*60</f>
        <v>0</v>
      </c>
      <c r="B7">
        <f>SUMIF('Journal de travail'!$E$7:$E$532,Analyse!C7,'Journal de travail'!$D$7:$D$532)</f>
        <v>230</v>
      </c>
      <c r="C7" s="27" t="str">
        <f>'Journal de travail'!M11</f>
        <v>Documentation</v>
      </c>
      <c r="D7" s="33">
        <f t="shared" si="0"/>
        <v>0.15972222222222221</v>
      </c>
    </row>
    <row r="8" spans="1:4" x14ac:dyDescent="0.3">
      <c r="A8">
        <f>SUMIF('Journal de travail'!$E$7:$E$532,Analyse!C8,'Journal de travail'!$C$7:$C$532)*60</f>
        <v>0</v>
      </c>
      <c r="B8">
        <f>SUMIF('Journal de travail'!$E$7:$E$532,Analyse!C8,'Journal de travail'!$D$7:$D$532)</f>
        <v>55</v>
      </c>
      <c r="C8" s="28" t="str">
        <f>'Journal de travail'!M12</f>
        <v>Meeting</v>
      </c>
      <c r="D8" s="33">
        <f t="shared" si="0"/>
        <v>3.8194444444444448E-2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0.90624999999999989</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2025-05-28T08:40:17Z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