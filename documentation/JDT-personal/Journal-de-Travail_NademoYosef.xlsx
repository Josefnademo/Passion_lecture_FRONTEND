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assion_lecture_FRONTEND\documentation\JDT-personal\"/>
    </mc:Choice>
  </mc:AlternateContent>
  <xr:revisionPtr revIDLastSave="0" documentId="13_ncr:1_{15179ACD-243B-4EFE-A21E-4605C6F42EC5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2868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<sst xmlns="http://schemas.openxmlformats.org/spreadsheetml/2006/main" count="48" uniqueCount="38">
  <si>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</si>
  <si>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</si>
  <si>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</si>
  <si>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</si>
  <si>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</si>
  <si>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</si>
  <si>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</si>
  <si>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</si>
  <si>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</si>
  <si>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</si>
  <si>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</si>
  <si>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</si>
  <si>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</si>
  <si>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</si>
  <si>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</si>
  <si>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</si>
  <si>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</si>
  <si>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</si>
  <si>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</si>
  <si>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</si>
  <si>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</si>
  <si>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</si>
  <si>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</si>
  <si>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heure</t>
  </si>
  <si>
    <t>Activité</t>
  </si>
  <si>
    <t>Remarque / problème</t>
  </si>
  <si>
    <t>construction des taches To do dans Git Project</t>
  </si>
  <si>
    <t>Nademo Yosef</t>
  </si>
  <si>
    <t>08.04.2025  au 30.05.2025</t>
  </si>
  <si>
    <t>analyse de CDC</t>
  </si>
  <si>
    <t>https://github.com/Josefnademo/Passion_lecture_FRONTEND https://github.com/users/Josefnademo/projects/4/views/1</t>
  </si>
  <si>
    <t>294 - Passion Lecture WEB</t>
  </si>
  <si>
    <t>création de GitHub repository, création d'une structure des dossier et fichier, mettre les fichiers nessaisers; création de Git Project</t>
  </si>
  <si>
    <t>création du design de la page d'accueil, 1ere version</t>
  </si>
  <si>
    <t>création du design de footer, 1ere version</t>
  </si>
  <si>
    <t>création du design de la page d'accueil</t>
  </si>
  <si>
    <t>construction du docker(création des fichiers .env, .yml, .dockerfile pour avoir l'environnement nécessaire au développement de l'application web.)</t>
  </si>
  <si>
    <t>dossier routes, avec une liste des routes, photo de liste des routes, et tableau des routes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</si>
</sst>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1.3888888888888888E-2</c:v>
                </c:pt>
                <c:pt idx="1">
                  <c:v>3.4722222222222224E-2</c:v>
                </c:pt>
                <c:pt idx="2">
                  <c:v>0</c:v>
                </c:pt>
                <c:pt idx="3">
                  <c:v>0</c:v>
                </c:pt>
                <c:pt idx="4">
                  <c:v>2.0833333333333332E-2</c:v>
                </c:pt>
                <c:pt idx="5">
                  <c:v>0</c:v>
                </c:pt>
                <c:pt idx="6">
                  <c:v>3.4722222222222224E-2</c:v>
                </c:pt>
                <c:pt idx="7">
                  <c:v>2.4305555555555556E-2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E16" sqref="E16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27</v>
      </c>
      <c r="D2" s="57"/>
      <c r="E2" s="57"/>
      <c r="F2" s="5" t="s">
        <v>2</v>
      </c>
      <c r="G2" s="6" t="s">
        <v>31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3 heurs 4 minutes</v>
      </c>
      <c r="D3" s="22"/>
      <c r="E3" s="3"/>
      <c r="F3" s="4" t="s">
        <v>10</v>
      </c>
      <c r="G3" s="7" t="s">
        <v>28</v>
      </c>
    </row>
    <row r="4" spans="1:15" ht="23.25" hidden="1" x14ac:dyDescent="0.35">
      <c r="B4" s="5"/>
      <c r="C4" s="22">
        <f>SUBTOTAL(9,$C$7:$C$531)*60</f>
        <v>0</v>
      </c>
      <c r="D4" s="22">
        <f>SUBTOTAL(9,$D$7:$D$531)</f>
        <v>185</v>
      </c>
      <c r="E4" s="40">
        <f>SUM(C4:D4)</f>
        <v>185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23</v>
      </c>
      <c r="D6" s="21" t="s">
        <v>17</v>
      </c>
      <c r="E6" s="19" t="s">
        <v>24</v>
      </c>
      <c r="F6" s="19" t="s">
        <v>13</v>
      </c>
      <c r="G6" s="19" t="s">
        <v>25</v>
      </c>
    </row>
    <row r="7" spans="1:15" ht="31.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22</v>
      </c>
      <c r="F7" s="36" t="s">
        <v>32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20</v>
      </c>
      <c r="E8" s="49" t="s">
        <v>3</v>
      </c>
      <c r="F8" s="36" t="s">
        <v>29</v>
      </c>
      <c r="G8" s="55"/>
      <c r="M8" t="s">
        <v>3</v>
      </c>
      <c r="N8">
        <v>1</v>
      </c>
      <c r="O8">
        <v>0</v>
      </c>
    </row>
    <row r="9" spans="1:15" ht="31.5" x14ac:dyDescent="0.25">
      <c r="A9" s="16">
        <f>IF(ISBLANK(B9),"",_xlfn.ISOWEEKNUM('Journal de travail'!$B9))</f>
        <v>15</v>
      </c>
      <c r="B9" s="50">
        <v>45755</v>
      </c>
      <c r="C9" s="51"/>
      <c r="D9" s="52">
        <v>30</v>
      </c>
      <c r="E9" s="53" t="s">
        <v>7</v>
      </c>
      <c r="F9" s="36" t="s">
        <v>26</v>
      </c>
      <c r="G9" s="56" t="s">
        <v>30</v>
      </c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45755</v>
      </c>
      <c r="C10" s="47"/>
      <c r="D10" s="48">
        <v>20</v>
      </c>
      <c r="E10" s="49" t="s">
        <v>21</v>
      </c>
      <c r="F10" s="36" t="s">
        <v>33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15</v>
      </c>
      <c r="E11" s="53" t="s">
        <v>21</v>
      </c>
      <c r="F11" s="36" t="s">
        <v>35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15</v>
      </c>
      <c r="B12" s="46">
        <v>45756</v>
      </c>
      <c r="C12" s="47"/>
      <c r="D12" s="48">
        <v>15</v>
      </c>
      <c r="E12" s="49" t="s">
        <v>21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ht="31.5" x14ac:dyDescent="0.25">
      <c r="A13" s="16">
        <f>IF(ISBLANK(B13),"",_xlfn.ISOWEEKNUM('Journal de travail'!$B13))</f>
        <v>15</v>
      </c>
      <c r="B13" s="50">
        <v>45756</v>
      </c>
      <c r="C13" s="51"/>
      <c r="D13" s="52">
        <v>50</v>
      </c>
      <c r="E13" s="53" t="s">
        <v>4</v>
      </c>
      <c r="F13" s="36" t="s">
        <v>36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15</v>
      </c>
      <c r="B14" s="46">
        <v>45756</v>
      </c>
      <c r="C14" s="47"/>
      <c r="D14" s="48">
        <v>5</v>
      </c>
      <c r="E14" s="49" t="s">
        <v>22</v>
      </c>
      <c r="F14" s="36" t="s">
        <v>37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15</v>
      </c>
      <c r="B15" s="50">
        <v>45756</v>
      </c>
      <c r="C15" s="51"/>
      <c r="D15" s="52">
        <v>5</v>
      </c>
      <c r="E15" s="53" t="s">
        <v>22</v>
      </c>
      <c r="F15" s="36"/>
      <c r="G15" s="56"/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15</v>
      </c>
      <c r="B16" s="46">
        <v>45756</v>
      </c>
      <c r="C16" s="47"/>
      <c r="D16" s="48">
        <v>5</v>
      </c>
      <c r="E16" s="49" t="s">
        <v>22</v>
      </c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20</v>
      </c>
      <c r="C4" s="25" t="str">
        <f>'Journal de travail'!M8</f>
        <v>Analyse</v>
      </c>
      <c r="D4" s="33">
        <f>(A4+B4)/1440</f>
        <v>1.3888888888888888E-2</v>
      </c>
    </row>
    <row r="5" spans="1:4" x14ac:dyDescent="0.3">
      <c r="A5">
        <f>SUMIF('Journal de travail'!$E$7:$E$532,Analyse!C5,'Journal de travail'!$C$7:$C$532)*60</f>
        <v>0</v>
      </c>
      <c r="B5">
        <f>SUMIF('Journal de travail'!$E$7:$E$532,Analyse!C5,'Journal de travail'!$D$7:$D$532)</f>
        <v>50</v>
      </c>
      <c r="C5" s="41" t="str">
        <f>'Journal de travail'!M9</f>
        <v>Développement</v>
      </c>
      <c r="D5" s="33">
        <f t="shared" ref="D5:D11" si="0">(A5+B5)/1440</f>
        <v>3.4722222222222224E-2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30</v>
      </c>
      <c r="C8" s="28" t="str">
        <f>'Journal de travail'!M12</f>
        <v>Meeting</v>
      </c>
      <c r="D8" s="33">
        <f t="shared" si="0"/>
        <v>2.0833333333333332E-2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0</v>
      </c>
      <c r="B10">
        <f>SUMIF('Journal de travail'!$E$7:$E$532,Analyse!C10,'Journal de travail'!$D$7:$D$532)</f>
        <v>50</v>
      </c>
      <c r="C10" s="37" t="str">
        <f>'Journal de travail'!M14</f>
        <v>Design</v>
      </c>
      <c r="D10" s="33">
        <f t="shared" si="0"/>
        <v>3.4722222222222224E-2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35</v>
      </c>
      <c r="C11" s="39" t="str">
        <f>'Journal de travail'!M15</f>
        <v>Autre</v>
      </c>
      <c r="D11" s="33">
        <f t="shared" si="0"/>
        <v>2.4305555555555556E-2</v>
      </c>
    </row>
    <row r="12" spans="1:4" x14ac:dyDescent="0.3">
      <c r="C12" s="23" t="s">
        <v>20</v>
      </c>
      <c r="D12" s="34">
        <f>SUM(D4:D11)</f>
        <v>0.12847222222222224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2025-04-09T06:30:37Z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