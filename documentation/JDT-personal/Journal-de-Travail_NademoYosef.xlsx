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F0EA7952-C53C-41D1-840A-57D3CCD55886}"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28680" yWindow="-120" windowWidth="29040" windowHeight="1584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2" l="1"/>
  <c r="A11" i="2"/>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D11" i="2" l="1"/>
  <c r="D10" i="2"/>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<sst xmlns="http://schemas.openxmlformats.org/spreadsheetml/2006/main" count="62" uniqueCount="44">
  <si>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</si>
  <si>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</si>
  <si>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</si>
  <si>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</si>
  <si>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</si>
  <si>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</si>
  <si>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</si>
  <si>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</si>
  <si>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</si>
  <si>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</si>
  <si>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</si>
  <si>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</si>
  <si>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</si>
  <si>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</si>
  <si>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</si>
  <si>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</si>
  <si>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</si>
  <si>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</si>
  <si>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</si>
  <si>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</si>
  <si>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</si>
  <si>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</si>
  <si>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</si>
  <si>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</si>
  <si>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</si>
  <si>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</si>
  <si>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</si>
  <si>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</si>
  <si>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</si>
  <si>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</si>
  <si>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</si>
  <si>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</si>
  <si>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</si>
  <si>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</si>
  <si>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</si>
  <si>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</si>
  <si>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construction du docker(création des fichiers .env, .yml, .dockerfile pour avoir l'environnement nécessaire au développement de l'application web.)</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</si>
  <si>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</si>
  <si>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</si>
  <si>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</si>
  <si>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IN PROGRESS 🚧⏳🔄🔜</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</si>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</sst>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9">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3.4722222222222224E-2</c:v>
                </c:pt>
                <c:pt idx="2">
                  <c:v>0</c:v>
                </c:pt>
                <c:pt idx="3">
                  <c:v>0</c:v>
                </c:pt>
                <c:pt idx="4">
                  <c:v>2.0833333333333332E-2</c:v>
                </c:pt>
                <c:pt idx="5">
                  <c:v>0</c:v>
                </c:pt>
                <c:pt idx="6">
                  <c:v>3.4722222222222224E-2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7" activePane="bottomLeft" state="frozen"/>
      <selection pane="bottomLeft" activeCell="G21" sqref="G21"/>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57" t="s">
        <v>27</v>
      </c>
      <c r="D2" s="57"/>
      <c r="E2" s="57"/>
      <c r="F2" s="5" t="s">
        <v>2</v>
      </c>
      <c r="G2" s="6" t="s">
        <v>31</v>
      </c>
    </row>
    <row r="3" spans="1:15" ht="23.25" x14ac:dyDescent="0.35">
      <c r="B3" s="5" t="s">
        <v>9</v>
      </c>
      <c r="C3" s="22" t="str">
        <f>INT(E4/1440)&amp;" jours "&amp;INT(MOD(E4/1440,1)*24)&amp;" heurs "&amp;INT(MOD(MOD(E4/1440,1)*24,1)*60)&amp;" minutes"</f>
        <v>0 jours 3 heurs 15 minutes</v>
      </c>
      <c r="D3" s="22"/>
      <c r="E3" s="3"/>
      <c r="F3" s="4" t="s">
        <v>10</v>
      </c>
      <c r="G3" s="7" t="s">
        <v>28</v>
      </c>
    </row>
    <row r="4" spans="1:15" ht="23.25" hidden="1" x14ac:dyDescent="0.35">
      <c r="B4" s="5"/>
      <c r="C4" s="22">
        <f>SUBTOTAL(9,$C$7:$C$531)*60</f>
        <v>0</v>
      </c>
      <c r="D4" s="22">
        <f>SUBTOTAL(9,$D$7:$D$531)</f>
        <v>195</v>
      </c>
      <c r="E4" s="40">
        <f>SUM(C4:D4)</f>
        <v>195</v>
      </c>
      <c r="F4" s="4"/>
      <c r="G4" s="7"/>
    </row>
    <row r="5" spans="1:15" x14ac:dyDescent="0.25">
      <c r="C5" s="58" t="s">
        <v>16</v>
      </c>
      <c r="D5" s="58"/>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31.5" x14ac:dyDescent="0.25">
      <c r="A13" s="16">
        <f>IF(ISBLANK(B13),"",_xlfn.ISOWEEKNUM('Journal de travail'!$B13))</f>
        <v>15</v>
      </c>
      <c r="B13" s="50">
        <v>45756</v>
      </c>
      <c r="C13" s="51"/>
      <c r="D13" s="52">
        <v>50</v>
      </c>
      <c r="E13" s="53" t="s">
        <v>4</v>
      </c>
      <c r="F13" s="36" t="s">
        <v>36</v>
      </c>
      <c r="G13" s="56" t="s">
        <v>40</v>
      </c>
      <c r="M13" t="s">
        <v>8</v>
      </c>
      <c r="N13">
        <v>6</v>
      </c>
      <c r="O13">
        <v>25</v>
      </c>
    </row>
    <row r="14" spans="1:15" x14ac:dyDescent="0.25">
      <c r="A14" s="8">
        <f>IF(ISBLANK(B14),"",_xlfn.ISOWEEKNUM('Journal de travail'!$B14))</f>
        <v>15</v>
      </c>
      <c r="B14" s="46">
        <v>45756</v>
      </c>
      <c r="C14" s="47"/>
      <c r="D14" s="48">
        <v>5</v>
      </c>
      <c r="E14" s="49" t="s">
        <v>22</v>
      </c>
      <c r="F14" s="36" t="s">
        <v>37</v>
      </c>
      <c r="G14" s="55" t="s">
        <v>42</v>
      </c>
      <c r="M14" t="s">
        <v>21</v>
      </c>
      <c r="N14">
        <v>7</v>
      </c>
      <c r="O14">
        <v>30</v>
      </c>
    </row>
    <row r="15" spans="1:15" x14ac:dyDescent="0.25">
      <c r="A15" s="16">
        <f>IF(ISBLANK(B15),"",_xlfn.ISOWEEKNUM('Journal de travail'!$B15))</f>
        <v>15</v>
      </c>
      <c r="B15" s="50">
        <v>45756</v>
      </c>
      <c r="C15" s="51"/>
      <c r="D15" s="52">
        <v>5</v>
      </c>
      <c r="E15" s="53" t="s">
        <v>22</v>
      </c>
      <c r="F15" s="36" t="s">
        <v>38</v>
      </c>
      <c r="G15" s="56" t="s">
        <v>42</v>
      </c>
      <c r="M15" t="s">
        <v>22</v>
      </c>
      <c r="N15">
        <v>8</v>
      </c>
      <c r="O15">
        <v>35</v>
      </c>
    </row>
    <row r="16" spans="1:15" ht="47.25" x14ac:dyDescent="0.25">
      <c r="A16" s="8">
        <f>IF(ISBLANK(B16),"",_xlfn.ISOWEEKNUM('Journal de travail'!$B16))</f>
        <v>15</v>
      </c>
      <c r="B16" s="46">
        <v>45756</v>
      </c>
      <c r="C16" s="47"/>
      <c r="D16" s="48">
        <v>5</v>
      </c>
      <c r="E16" s="49" t="s">
        <v>22</v>
      </c>
      <c r="F16" s="36" t="s">
        <v>39</v>
      </c>
      <c r="G16" s="55" t="s">
        <v>42</v>
      </c>
      <c r="O16">
        <v>40</v>
      </c>
    </row>
    <row r="17" spans="1:15" ht="47.25" x14ac:dyDescent="0.25">
      <c r="A17" s="16">
        <f>IF(ISBLANK(B17),"",_xlfn.ISOWEEKNUM('Journal de travail'!$B17))</f>
        <v>15</v>
      </c>
      <c r="B17" s="50">
        <v>45756</v>
      </c>
      <c r="C17" s="51"/>
      <c r="D17" s="52">
        <v>5</v>
      </c>
      <c r="E17" s="53" t="s">
        <v>22</v>
      </c>
      <c r="F17" s="36" t="s">
        <v>41</v>
      </c>
      <c r="G17" s="56" t="s">
        <v>42</v>
      </c>
      <c r="O17">
        <v>45</v>
      </c>
    </row>
    <row r="18" spans="1:15" ht="31.5" x14ac:dyDescent="0.25">
      <c r="A18" s="8">
        <f>IF(ISBLANK(B18),"",_xlfn.ISOWEEKNUM('Journal de travail'!$B18))</f>
        <v>15</v>
      </c>
      <c r="B18" s="46">
        <v>45756</v>
      </c>
      <c r="C18" s="47"/>
      <c r="D18" s="48">
        <v>5</v>
      </c>
      <c r="E18" s="49" t="s">
        <v>22</v>
      </c>
      <c r="F18" s="36" t="s">
        <v>43</v>
      </c>
      <c r="G18" s="55" t="s">
        <v>42</v>
      </c>
      <c r="O18">
        <v>50</v>
      </c>
    </row>
    <row r="19" spans="1:15" x14ac:dyDescent="0.25">
      <c r="A19" s="16" t="str">
        <f>IF(ISBLANK(B19),"",_xlfn.ISOWEEKNUM('Journal de travail'!$B19))</f>
        <v/>
      </c>
      <c r="B19" s="50"/>
      <c r="C19" s="51"/>
      <c r="D19" s="52"/>
      <c r="E19" s="53"/>
      <c r="F19" s="36"/>
      <c r="G19" s="56"/>
      <c r="O19">
        <v>55</v>
      </c>
    </row>
    <row r="20" spans="1:15" x14ac:dyDescent="0.25">
      <c r="A20" s="8" t="str">
        <f>IF(ISBLANK(B20),"",_xlfn.ISOWEEKNUM('Journal de travail'!$B20))</f>
        <v/>
      </c>
      <c r="B20" s="46"/>
      <c r="C20" s="47"/>
      <c r="D20" s="48"/>
      <c r="E20" s="49"/>
      <c r="F20" s="36"/>
      <c r="G20" s="55"/>
    </row>
    <row r="21" spans="1:15" x14ac:dyDescent="0.25">
      <c r="A21" s="16" t="str">
        <f>IF(ISBLANK(B21),"",_xlfn.ISOWEEKNUM('Journal de travail'!$B21))</f>
        <v/>
      </c>
      <c r="B21" s="50"/>
      <c r="C21" s="51"/>
      <c r="D21" s="52"/>
      <c r="E21" s="53"/>
      <c r="F21" s="36"/>
      <c r="G21" s="56"/>
    </row>
    <row r="22" spans="1:15" x14ac:dyDescent="0.25">
      <c r="A22" s="8" t="str">
        <f>IF(ISBLANK(B22),"",_xlfn.ISOWEEKNUM('Journal de travail'!$B22))</f>
        <v/>
      </c>
      <c r="B22" s="46"/>
      <c r="C22" s="47"/>
      <c r="D22" s="48"/>
      <c r="E22" s="49"/>
      <c r="F22" s="36"/>
      <c r="G22" s="55"/>
    </row>
    <row r="23" spans="1:15" x14ac:dyDescent="0.25">
      <c r="A23" s="16" t="str">
        <f>IF(ISBLANK(B23),"",_xlfn.ISOWEEKNUM('Journal de travail'!$B23))</f>
        <v/>
      </c>
      <c r="B23" s="50"/>
      <c r="C23" s="51"/>
      <c r="D23" s="52"/>
      <c r="E23" s="53"/>
      <c r="F23" s="36"/>
      <c r="G23" s="56"/>
    </row>
    <row r="24" spans="1:15" x14ac:dyDescent="0.25">
      <c r="A24" s="8" t="str">
        <f>IF(ISBLANK(B24),"",_xlfn.ISOWEEKNUM('Journal de travail'!$B24))</f>
        <v/>
      </c>
      <c r="B24" s="46"/>
      <c r="C24" s="47"/>
      <c r="D24" s="48"/>
      <c r="E24" s="49"/>
      <c r="F24" s="36"/>
      <c r="G24" s="55"/>
    </row>
    <row r="25" spans="1:15" x14ac:dyDescent="0.25">
      <c r="A25" s="16" t="str">
        <f>IF(ISBLANK(B25),"",_xlfn.ISOWEEKNUM('Journal de travail'!$B25))</f>
        <v/>
      </c>
      <c r="B25" s="50"/>
      <c r="C25" s="51"/>
      <c r="D25" s="52"/>
      <c r="E25" s="53"/>
      <c r="F25" s="36"/>
      <c r="G25" s="56"/>
    </row>
    <row r="26" spans="1:15" x14ac:dyDescent="0.25">
      <c r="A26" s="8" t="str">
        <f>IF(ISBLANK(B26),"",_xlfn.ISOWEEKNUM('Journal de travail'!$B26))</f>
        <v/>
      </c>
      <c r="B26" s="46"/>
      <c r="C26" s="47"/>
      <c r="D26" s="48"/>
      <c r="E26" s="49"/>
      <c r="F26" s="36"/>
      <c r="G26" s="55"/>
    </row>
    <row r="27" spans="1:15" x14ac:dyDescent="0.25">
      <c r="A27" s="16" t="str">
        <f>IF(ISBLANK(B27),"",_xlfn.ISOWEEKNUM('Journal de travail'!$B27))</f>
        <v/>
      </c>
      <c r="B27" s="50"/>
      <c r="C27" s="51"/>
      <c r="D27" s="52"/>
      <c r="E27" s="53"/>
      <c r="F27" s="36"/>
      <c r="G27" s="56"/>
    </row>
    <row r="28" spans="1:15" x14ac:dyDescent="0.25">
      <c r="A28" s="8" t="str">
        <f>IF(ISBLANK(B28),"",_xlfn.ISOWEEKNUM('Journal de travail'!$B28))</f>
        <v/>
      </c>
      <c r="B28" s="46"/>
      <c r="C28" s="47"/>
      <c r="D28" s="48"/>
      <c r="E28" s="49"/>
      <c r="F28" s="35"/>
      <c r="G28" s="55"/>
    </row>
    <row r="29" spans="1:15" x14ac:dyDescent="0.25">
      <c r="A29" s="16" t="str">
        <f>IF(ISBLANK(B29),"",_xlfn.ISOWEEKNUM('Journal de travail'!$B29))</f>
        <v/>
      </c>
      <c r="B29" s="50"/>
      <c r="C29" s="51"/>
      <c r="D29" s="52"/>
      <c r="E29" s="53"/>
      <c r="F29" s="35"/>
      <c r="G29" s="56"/>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7:E532">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0</v>
      </c>
      <c r="B5">
        <f>SUMIF('Journal de travail'!$E$7:$E$532,Analyse!C5,'Journal de travail'!$D$7:$D$532)</f>
        <v>50</v>
      </c>
      <c r="C5" s="41" t="str">
        <f>'Journal de travail'!M9</f>
        <v>Développement</v>
      </c>
      <c r="D5" s="33">
        <f t="shared" ref="D5:D11" si="0">(A5+B5)/1440</f>
        <v>3.4722222222222224E-2</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0</v>
      </c>
      <c r="C7" s="27" t="str">
        <f>'Journal de travail'!M11</f>
        <v>Documentation</v>
      </c>
      <c r="D7" s="33">
        <f t="shared" si="0"/>
        <v>0</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50</v>
      </c>
      <c r="C10" s="37" t="str">
        <f>'Journal de travail'!M14</f>
        <v>Design</v>
      </c>
      <c r="D10" s="33">
        <f t="shared" si="0"/>
        <v>3.4722222222222224E-2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0.13541666666666669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2025-04-09T07:09:17Z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