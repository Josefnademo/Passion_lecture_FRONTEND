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D8950711-7612-4635-9233-F0593F2212C8}"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29535" yWindow="0" windowWidth="23520" windowHeight="1560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<sst xmlns="http://schemas.openxmlformats.org/spreadsheetml/2006/main" count="143" uniqueCount="88">
  <si>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</si>
  <si>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</si>
  <si>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</si>
  <si>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</si>
  <si>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</si>
  <si>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</si>
  <si>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</si>
  <si>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</si>
  <si>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</si>
  <si>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</si>
  <si>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</si>
  <si>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</si>
  <si>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</si>
  <si>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</si>
  <si>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</si>
  <si>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</si>
  <si>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</si>
  <si>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</si>
  <si>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</si>
  <si>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</si>
  <si>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</si>
  <si>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</si>
  <si>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</si>
  <si>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</si>
  <si>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</si>
  <si>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</si>
  <si>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</si>
  <si>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</si>
  <si>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</si>
  <si>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</si>
  <si>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</si>
  <si>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</si>
  <si>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</si>
  <si>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</si>
  <si>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</si>
  <si>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</si>
  <si>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</si>
  <si>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</si>
  <si>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</si>
  <si>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</si>
  <si>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</si>
  <si>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</si>
  <si>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</si>
  <si>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</si>
  <si>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</si>
  <si>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</si>
  <si>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</si>
  <si>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</si>
  <si>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</si>
  <si>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</si>
  <si>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</si>
  <si>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</si>
  <si>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</si>
  <si>
    <t>PageAcceuil(Book data loading from API, Books section (model))</t>
  </si>
  <si>
    <t>20miv</t>
  </si>
  <si>
    <t>BACKEND(app.js)</t>
  </si>
  <si>
    <t>FRONTEND(Acceuil.vue)</t>
  </si>
  <si>
    <t>donc j'ai mis l'information plus bas</t>
  </si>
  <si>
    <t>ce champs est pas au norme(la partie "Activite")</t>
  </si>
  <si>
    <t>FRONTEND(Footer.vue , App.vue , Acceuil.vue)</t>
  </si>
  <si>
    <t>correction du footer et integration correcte dans App.vue ; Il y avait des problemes dans la partie du code basique, donc j'ai du tout refaire</t>
  </si>
  <si>
    <t xml:space="preserve">BACKEND(DB -Migration)    mock-book.js  </t>
  </si>
  <si>
    <t>modification de mock-book.js  Création des 5 premiers livres dans la base de données avec des images réelles et un contenu cohérent</t>
  </si>
  <si>
    <t>const createdBook = await Book.create({
  titre: book.titre,
  annee_edition: book.annee_edition,
  nombre_de_page: book.nombre_de_page,
  category_id: book.category_id,
  writer_id: book.writer_id,
  lien_image: book.lien_image,
  lien_pdf: book.lien_pdf,
  resume: book.resume,
  editeur: book.editeur,
});</t>
  </si>
  <si>
    <t>Lors de l'importation des livres via la fonction importBooks(), les liens vers les images (par exemple, les couvertures) n’étaient pas enregistrés en base de données. Cela provenait du fait que la méthode Book.create() ne recevait pas ces champs lors de l’appel.
Résolution :
J’ai modifié la migration pour inclure les champs nécessaires dans la table Books, notamment ceux liés aux images (ex. : coverImageUrl, thumbnailUrl, etc.).
J’ai ensuite mis à jour la fonction importBooks() pour inclure ces champs lors de l’appel à Book.create().</t>
  </si>
  <si>
    <t>adaptation des image des livres avec CSS</t>
  </si>
  <si>
    <t>BackEnd(supprimer un problème avec CORS), installation de paquet npm "cors", importation + autorise toutes les origines; TEST avec des images</t>
  </si>
  <si>
    <t>&lt;div v-for="book in books.slice(0, 5)" :key="book.livre_id" class="book-card"&gt;</t>
  </si>
  <si>
    <t>PageAcceuil( j'ai fait limitation des livres à 5) + ajuster la taille des images + placement jolie et structurisé sur la page</t>
  </si>
  <si>
    <t>&lt;div
          v-for="book in showAll ? books : books.slice(0, 5)"
          :key="book.livre_id"
          class="book-card"
        &gt;</t>
  </si>
  <si>
    <t>PageAcceuil( Title et description ) + ajout de founction showAll pour donner la posibilite de montrer tous les livres ou juste 5 premiers + modification des titres et du text explicatif + (CSS) pour chque de ces étap, transformation des "px" en "em" pour faire un design responsive ; App.vue (CSS)</t>
  </si>
  <si>
    <t>Création de css pour la page des categories</t>
  </si>
  <si>
    <t>Création de css pour la page des livres d'une "category"</t>
  </si>
  <si>
    <t>Page d'ajout d'un ouvrage( creation de template)</t>
  </si>
  <si>
    <t>Page d'ajout d'un ouvrage (transfering data vers API et db)script; utilisation le user qui est dans JWT token, creation de methode</t>
  </si>
  <si>
    <t xml:space="preserve">
CSS pour une page d’ajout d’un ouvrage (accès utilisateur)</t>
  </si>
  <si>
    <t>creation du methode qui gere ajouter des images</t>
  </si>
  <si>
    <t>Update README.md Installation et deploiement+ explication du script</t>
  </si>
  <si>
    <t>Script de démarrage automatique✅; docker compose modification suppresion de app (9999)</t>
  </si>
  <si>
    <t>Gain de temps : plus besoin d'explorer chaque dossier, d'exécuter des commandes individuelles ou de réfléchir à l'ordre de lancement.
- Commodité pour l'équipe : tout développeur peut commencer à travailler rapidement sans comprendre la structure du projet.
- Fiabilité accrue : le risque d'erreur humaine lors du lancement manuel est réduit.</t>
  </si>
  <si>
    <t>Une page d’ajout d’un ouvrage</t>
  </si>
  <si>
    <t>Configuration de multer(pour parce le ficher avec données) upload.js
booksController.js
      // Find or create a writer
      // Find or create a category
      // Create a book
CreateBook.vue
Methode pour resevoir des images depuis une ligne extérieur(URL d'un site externe) , ou depuis le serveur
DOSSIER uploads,qui contien des images charge par utilisateur ,redirection correct vers ce dossier
gitignore</t>
  </si>
  <si>
    <t>Rapport (structure de rapport, WEBOGRAPHIE)</t>
  </si>
  <si>
    <t>Rapport (structure ,intorduction,2	ANALYSE 2.1	Planification de toutes les tâches à réaliser Planification des tâches (outil GitHub Projects))</t>
  </si>
  <si>
    <t>ANALYSE :Planification des tâches (outil GitHub Projects)</t>
  </si>
  <si>
    <t>Réalisation (sécurité, fonctionnalités techniques, gestion Git/GitHub).</t>
  </si>
  <si>
    <t>Schéma de l’architecture représentant les interactions entre le
frontend et le backend tout en situant les différents composants (API
REST, la base de données, l’ORM, etc)</t>
  </si>
  <si>
    <t>diagram.png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</si>
</sst>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0.56597222222222221</c:v>
                </c:pt>
                <c:pt idx="2">
                  <c:v>0</c:v>
                </c:pt>
                <c:pt idx="3">
                  <c:v>0.1423611111111111</c:v>
                </c:pt>
                <c:pt idx="4">
                  <c:v>2.0833333333333332E-2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42" activePane="bottomLeft" state="frozen"/>
      <selection pane="bottomLeft" activeCell="G52" sqref="G52"/>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61" t="s">
        <v>27</v>
      </c>
      <c r="D2" s="61"/>
      <c r="E2" s="61"/>
      <c r="F2" s="5" t="s">
        <v>2</v>
      </c>
      <c r="G2" s="6" t="s">
        <v>31</v>
      </c>
    </row>
    <row r="3" spans="1:15" ht="23.25" x14ac:dyDescent="0.35">
      <c r="B3" s="5" t="s">
        <v>9</v>
      </c>
      <c r="C3" s="22" t="str">
        <f>INT(E4/1440)&amp;" jours "&amp;INT(MOD(E4/1440,1)*24)&amp;" heurs "&amp;INT(MOD(MOD(E4/1440,1)*24,1)*60)&amp;" minutes"</f>
        <v>0 jours 19 heurs 55 minutes</v>
      </c>
      <c r="D3" s="22"/>
      <c r="E3" s="3"/>
      <c r="F3" s="4" t="s">
        <v>10</v>
      </c>
      <c r="G3" s="7" t="s">
        <v>28</v>
      </c>
    </row>
    <row r="4" spans="1:15" ht="23.25" hidden="1" x14ac:dyDescent="0.35">
      <c r="B4" s="5"/>
      <c r="C4" s="22">
        <f>SUBTOTAL(9,$C$7:$C$531)*60</f>
        <v>240</v>
      </c>
      <c r="D4" s="22">
        <f>SUBTOTAL(9,$D$7:$D$531)</f>
        <v>955</v>
      </c>
      <c r="E4" s="40">
        <f>SUM(C4:D4)</f>
        <v>1195</v>
      </c>
      <c r="F4" s="4"/>
      <c r="G4" s="7"/>
    </row>
    <row r="5" spans="1:15" x14ac:dyDescent="0.25">
      <c r="C5" s="62" t="s">
        <v>16</v>
      </c>
      <c r="D5" s="62"/>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7"/>
      <c r="D26" s="58"/>
      <c r="E26" s="59" t="s">
        <v>58</v>
      </c>
      <c r="F26" s="60"/>
      <c r="G26" s="55" t="s">
        <v>57</v>
      </c>
    </row>
    <row r="27" spans="1:15" x14ac:dyDescent="0.25">
      <c r="A27" s="16" t="str">
        <f>IF(ISBLANK(B27),"",_xlfn.ISOWEEKNUM('Journal de travail'!$B27))</f>
        <v/>
      </c>
      <c r="B27" s="50"/>
      <c r="C27" s="57"/>
      <c r="D27" s="58"/>
      <c r="E27" s="59" t="s">
        <v>58</v>
      </c>
      <c r="F27" s="60"/>
      <c r="G27" s="56" t="s">
        <v>57</v>
      </c>
    </row>
    <row r="28" spans="1:15" x14ac:dyDescent="0.25">
      <c r="A28" s="8">
        <f>IF(ISBLANK(B28),"",_xlfn.ISOWEEKNUM('Journal de travail'!$B28))</f>
        <v>19</v>
      </c>
      <c r="B28" s="46">
        <v>45783</v>
      </c>
      <c r="C28" s="47"/>
      <c r="D28" s="48">
        <v>40</v>
      </c>
      <c r="E28" s="49" t="s">
        <v>4</v>
      </c>
      <c r="F28" s="35" t="s">
        <v>53</v>
      </c>
      <c r="G28" s="55" t="s">
        <v>56</v>
      </c>
    </row>
    <row r="29" spans="1:15" x14ac:dyDescent="0.25">
      <c r="A29" s="16">
        <f>IF(ISBLANK(B29),"",_xlfn.ISOWEEKNUM('Journal de travail'!$B29))</f>
        <v>19</v>
      </c>
      <c r="B29" s="50">
        <v>45783</v>
      </c>
      <c r="C29" s="51"/>
      <c r="D29" s="52" t="s">
        <v>54</v>
      </c>
      <c r="E29" s="53" t="s">
        <v>4</v>
      </c>
      <c r="F29" s="35" t="s">
        <v>66</v>
      </c>
      <c r="G29" s="56" t="s">
        <v>55</v>
      </c>
    </row>
    <row r="30" spans="1:15" ht="31.5" x14ac:dyDescent="0.25">
      <c r="A30" s="8">
        <f>IF(ISBLANK(B30),"",_xlfn.ISOWEEKNUM('Journal de travail'!$B30))</f>
        <v>19</v>
      </c>
      <c r="B30" s="46">
        <v>45783</v>
      </c>
      <c r="C30" s="47"/>
      <c r="D30" s="48">
        <v>30</v>
      </c>
      <c r="E30" s="49" t="s">
        <v>4</v>
      </c>
      <c r="F30" s="36" t="s">
        <v>60</v>
      </c>
      <c r="G30" s="55" t="s">
        <v>59</v>
      </c>
    </row>
    <row r="31" spans="1:15" x14ac:dyDescent="0.25">
      <c r="A31" s="16">
        <f>IF(ISBLANK(B31),"",_xlfn.ISOWEEKNUM('Journal de travail'!$B31))</f>
        <v>19</v>
      </c>
      <c r="B31" s="50">
        <v>45783</v>
      </c>
      <c r="C31" s="51"/>
      <c r="D31" s="52">
        <v>30</v>
      </c>
      <c r="E31" s="53" t="s">
        <v>4</v>
      </c>
      <c r="F31" s="35" t="s">
        <v>62</v>
      </c>
      <c r="G31" s="56" t="s">
        <v>61</v>
      </c>
    </row>
    <row r="32" spans="1:15" ht="173.25" x14ac:dyDescent="0.25">
      <c r="A32" s="8">
        <f>IF(ISBLANK(B32),"",_xlfn.ISOWEEKNUM('Journal de travail'!$B32))</f>
        <v>19</v>
      </c>
      <c r="B32" s="46">
        <v>45783</v>
      </c>
      <c r="C32" s="47"/>
      <c r="D32" s="48">
        <v>15</v>
      </c>
      <c r="E32" s="49" t="s">
        <v>4</v>
      </c>
      <c r="F32" s="36" t="s">
        <v>64</v>
      </c>
      <c r="G32" s="55" t="s">
        <v>63</v>
      </c>
    </row>
    <row r="33" spans="1:7" x14ac:dyDescent="0.25">
      <c r="A33" s="16">
        <f>IF(ISBLANK(B33),"",_xlfn.ISOWEEKNUM('Journal de travail'!$B33))</f>
        <v>19</v>
      </c>
      <c r="B33" s="50">
        <v>45783</v>
      </c>
      <c r="C33" s="51"/>
      <c r="D33" s="52">
        <v>10</v>
      </c>
      <c r="E33" s="53" t="s">
        <v>4</v>
      </c>
      <c r="F33" s="35" t="s">
        <v>65</v>
      </c>
      <c r="G33" s="56" t="s">
        <v>56</v>
      </c>
    </row>
    <row r="34" spans="1:7" x14ac:dyDescent="0.25">
      <c r="A34" s="8">
        <f>IF(ISBLANK(B34),"",_xlfn.ISOWEEKNUM('Journal de travail'!$B34))</f>
        <v>19</v>
      </c>
      <c r="B34" s="46">
        <v>45783</v>
      </c>
      <c r="C34" s="47"/>
      <c r="D34" s="48">
        <v>20</v>
      </c>
      <c r="E34" s="49" t="s">
        <v>6</v>
      </c>
      <c r="F34" s="35" t="s">
        <v>47</v>
      </c>
      <c r="G34" s="55"/>
    </row>
    <row r="35" spans="1:7" ht="31.5" x14ac:dyDescent="0.25">
      <c r="A35" s="16">
        <f>IF(ISBLANK(B35),"",_xlfn.ISOWEEKNUM('Journal de travail'!$B35))</f>
        <v>19</v>
      </c>
      <c r="B35" s="50">
        <v>45784</v>
      </c>
      <c r="C35" s="51"/>
      <c r="D35" s="52">
        <v>30</v>
      </c>
      <c r="E35" s="53" t="s">
        <v>4</v>
      </c>
      <c r="F35" s="36" t="s">
        <v>68</v>
      </c>
      <c r="G35" s="56" t="s">
        <v>67</v>
      </c>
    </row>
    <row r="36" spans="1:7" ht="78.75" x14ac:dyDescent="0.25">
      <c r="A36" s="8">
        <f>IF(ISBLANK(B36),"",_xlfn.ISOWEEKNUM('Journal de travail'!$B36))</f>
        <v>19</v>
      </c>
      <c r="B36" s="46">
        <v>45784</v>
      </c>
      <c r="C36" s="47">
        <v>1</v>
      </c>
      <c r="D36" s="48">
        <v>30</v>
      </c>
      <c r="E36" s="49" t="s">
        <v>4</v>
      </c>
      <c r="F36" s="35" t="s">
        <v>70</v>
      </c>
      <c r="G36" s="55" t="s">
        <v>69</v>
      </c>
    </row>
    <row r="37" spans="1:7" x14ac:dyDescent="0.25">
      <c r="A37" s="16">
        <f>IF(ISBLANK(B37),"",_xlfn.ISOWEEKNUM('Journal de travail'!$B37))</f>
        <v>19</v>
      </c>
      <c r="B37" s="50">
        <v>45784</v>
      </c>
      <c r="C37" s="51"/>
      <c r="D37" s="52">
        <v>30</v>
      </c>
      <c r="E37" s="53" t="s">
        <v>4</v>
      </c>
      <c r="F37" s="35" t="s">
        <v>71</v>
      </c>
      <c r="G37" s="56"/>
    </row>
    <row r="38" spans="1:7" x14ac:dyDescent="0.25">
      <c r="A38" s="8">
        <f>IF(ISBLANK(B38),"",_xlfn.ISOWEEKNUM('Journal de travail'!$B38))</f>
        <v>19</v>
      </c>
      <c r="B38" s="46">
        <v>45784</v>
      </c>
      <c r="C38" s="47"/>
      <c r="D38" s="48">
        <v>30</v>
      </c>
      <c r="E38" s="49" t="s">
        <v>4</v>
      </c>
      <c r="F38" s="35" t="s">
        <v>72</v>
      </c>
      <c r="G38" s="55"/>
    </row>
    <row r="39" spans="1:7" x14ac:dyDescent="0.25">
      <c r="A39" s="16">
        <f>IF(ISBLANK(B39),"",_xlfn.ISOWEEKNUM('Journal de travail'!$B39))</f>
        <v>19</v>
      </c>
      <c r="B39" s="50">
        <v>45784</v>
      </c>
      <c r="C39" s="51"/>
      <c r="D39" s="52">
        <v>20</v>
      </c>
      <c r="E39" s="53" t="s">
        <v>6</v>
      </c>
      <c r="F39" s="35" t="s">
        <v>47</v>
      </c>
      <c r="G39" s="56"/>
    </row>
    <row r="40" spans="1:7" x14ac:dyDescent="0.25">
      <c r="A40" s="8">
        <f>IF(ISBLANK(B40),"",_xlfn.ISOWEEKNUM('Journal de travail'!$B40))</f>
        <v>20</v>
      </c>
      <c r="B40" s="46">
        <v>45790</v>
      </c>
      <c r="C40" s="47"/>
      <c r="D40" s="48">
        <v>40</v>
      </c>
      <c r="E40" s="49" t="s">
        <v>4</v>
      </c>
      <c r="F40" s="35" t="s">
        <v>73</v>
      </c>
      <c r="G40" s="55"/>
    </row>
    <row r="41" spans="1:7" x14ac:dyDescent="0.25">
      <c r="A41" s="16">
        <f>IF(ISBLANK(B41),"",_xlfn.ISOWEEKNUM('Journal de travail'!$B41))</f>
        <v>20</v>
      </c>
      <c r="B41" s="50">
        <v>45790</v>
      </c>
      <c r="C41" s="51">
        <v>1</v>
      </c>
      <c r="D41" s="52">
        <v>10</v>
      </c>
      <c r="E41" s="53" t="s">
        <v>4</v>
      </c>
      <c r="F41" s="35" t="s">
        <v>74</v>
      </c>
      <c r="G41" s="56"/>
    </row>
    <row r="42" spans="1:7" ht="31.5" x14ac:dyDescent="0.25">
      <c r="A42" s="8">
        <f>IF(ISBLANK(B42),"",_xlfn.ISOWEEKNUM('Journal de travail'!$B42))</f>
        <v>20</v>
      </c>
      <c r="B42" s="46">
        <v>45790</v>
      </c>
      <c r="C42" s="47"/>
      <c r="D42" s="48">
        <v>30</v>
      </c>
      <c r="E42" s="49" t="s">
        <v>4</v>
      </c>
      <c r="F42" s="36" t="s">
        <v>75</v>
      </c>
      <c r="G42" s="55"/>
    </row>
    <row r="43" spans="1:7" x14ac:dyDescent="0.25">
      <c r="A43" s="16">
        <f>IF(ISBLANK(B43),"",_xlfn.ISOWEEKNUM('Journal de travail'!$B43))</f>
        <v>20</v>
      </c>
      <c r="B43" s="50">
        <v>45790</v>
      </c>
      <c r="C43" s="51"/>
      <c r="D43" s="52">
        <v>30</v>
      </c>
      <c r="E43" s="53" t="s">
        <v>4</v>
      </c>
      <c r="F43" s="35" t="s">
        <v>76</v>
      </c>
      <c r="G43" s="56"/>
    </row>
    <row r="44" spans="1:7" x14ac:dyDescent="0.25">
      <c r="A44" s="8">
        <f>IF(ISBLANK(B44),"",_xlfn.ISOWEEKNUM('Journal de travail'!$B44))</f>
        <v>21</v>
      </c>
      <c r="B44" s="46">
        <v>45797</v>
      </c>
      <c r="C44" s="47"/>
      <c r="D44" s="48">
        <v>30</v>
      </c>
      <c r="E44" s="49" t="s">
        <v>6</v>
      </c>
      <c r="F44" s="35" t="s">
        <v>77</v>
      </c>
      <c r="G44" s="55"/>
    </row>
    <row r="45" spans="1:7" ht="110.25" x14ac:dyDescent="0.25">
      <c r="A45" s="16">
        <f>IF(ISBLANK(B45),"",_xlfn.ISOWEEKNUM('Journal de travail'!$B45))</f>
        <v>21</v>
      </c>
      <c r="B45" s="50">
        <v>45797</v>
      </c>
      <c r="C45" s="51"/>
      <c r="D45" s="52">
        <v>40</v>
      </c>
      <c r="E45" s="53" t="s">
        <v>4</v>
      </c>
      <c r="F45" s="35" t="s">
        <v>78</v>
      </c>
      <c r="G45" s="56" t="s">
        <v>79</v>
      </c>
    </row>
    <row r="46" spans="1:7" ht="189" x14ac:dyDescent="0.25">
      <c r="A46" s="8">
        <f>IF(ISBLANK(B46),"",_xlfn.ISOWEEKNUM('Journal de travail'!$B46))</f>
        <v>21</v>
      </c>
      <c r="B46" s="46">
        <v>45797</v>
      </c>
      <c r="C46" s="47">
        <v>1</v>
      </c>
      <c r="D46" s="48">
        <v>50</v>
      </c>
      <c r="E46" s="49" t="s">
        <v>4</v>
      </c>
      <c r="F46" s="35" t="s">
        <v>80</v>
      </c>
      <c r="G46" s="55" t="s">
        <v>81</v>
      </c>
    </row>
    <row r="47" spans="1:7" x14ac:dyDescent="0.25">
      <c r="A47" s="16">
        <f>IF(ISBLANK(B47),"",_xlfn.ISOWEEKNUM('Journal de travail'!$B47))</f>
        <v>21</v>
      </c>
      <c r="B47" s="50">
        <v>45797</v>
      </c>
      <c r="C47" s="51"/>
      <c r="D47" s="52">
        <v>30</v>
      </c>
      <c r="E47" s="53" t="s">
        <v>6</v>
      </c>
      <c r="F47" s="35" t="s">
        <v>82</v>
      </c>
      <c r="G47" s="56"/>
    </row>
    <row r="48" spans="1:7" x14ac:dyDescent="0.25">
      <c r="A48" s="8">
        <f>IF(ISBLANK(B48),"",_xlfn.ISOWEEKNUM('Journal de travail'!$B48))</f>
        <v>21</v>
      </c>
      <c r="B48" s="46">
        <v>45797</v>
      </c>
      <c r="C48" s="47"/>
      <c r="D48" s="48">
        <v>25</v>
      </c>
      <c r="E48" s="49" t="s">
        <v>6</v>
      </c>
      <c r="F48" s="35" t="s">
        <v>83</v>
      </c>
      <c r="G48" s="55"/>
    </row>
    <row r="49" spans="1:7" x14ac:dyDescent="0.25">
      <c r="A49" s="16">
        <f>IF(ISBLANK(B49),"",_xlfn.ISOWEEKNUM('Journal de travail'!$B49))</f>
        <v>22</v>
      </c>
      <c r="B49" s="50">
        <v>45804</v>
      </c>
      <c r="C49" s="51"/>
      <c r="D49" s="52">
        <v>10</v>
      </c>
      <c r="E49" s="53" t="s">
        <v>6</v>
      </c>
      <c r="F49" s="35" t="s">
        <v>84</v>
      </c>
      <c r="G49" s="56"/>
    </row>
    <row r="50" spans="1:7" x14ac:dyDescent="0.25">
      <c r="A50" s="8">
        <f>IF(ISBLANK(B50),"",_xlfn.ISOWEEKNUM('Journal de travail'!$B50))</f>
        <v>22</v>
      </c>
      <c r="B50" s="46">
        <v>45804</v>
      </c>
      <c r="C50" s="47"/>
      <c r="D50" s="48">
        <v>25</v>
      </c>
      <c r="E50" s="49" t="s">
        <v>6</v>
      </c>
      <c r="F50" s="35" t="s">
        <v>85</v>
      </c>
      <c r="G50" s="55"/>
    </row>
    <row r="51" spans="1:7" ht="47.25" x14ac:dyDescent="0.25">
      <c r="A51" s="16">
        <f>IF(ISBLANK(B51),"",_xlfn.ISOWEEKNUM('Journal de travail'!$B51))</f>
        <v>22</v>
      </c>
      <c r="B51" s="50">
        <v>45804</v>
      </c>
      <c r="C51" s="51"/>
      <c r="D51" s="52">
        <v>25</v>
      </c>
      <c r="E51" s="53" t="s">
        <v>6</v>
      </c>
      <c r="F51" s="36" t="s">
        <v>86</v>
      </c>
      <c r="G51" s="56" t="s">
        <v>87</v>
      </c>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240</v>
      </c>
      <c r="B5">
        <f>SUMIF('Journal de travail'!$E$7:$E$532,Analyse!C5,'Journal de travail'!$D$7:$D$532)</f>
        <v>575</v>
      </c>
      <c r="C5" s="41" t="str">
        <f>'Journal de travail'!M9</f>
        <v>Développement</v>
      </c>
      <c r="D5" s="33">
        <f t="shared" ref="D5:D11" si="0">(A5+B5)/1440</f>
        <v>0.56597222222222221</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205</v>
      </c>
      <c r="C7" s="27" t="str">
        <f>'Journal de travail'!M11</f>
        <v>Documentation</v>
      </c>
      <c r="D7" s="33">
        <f t="shared" si="0"/>
        <v>0.1423611111111111</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0.82986111111111105</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customXml/itemProps3.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2025-05-27T12:10:22Z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