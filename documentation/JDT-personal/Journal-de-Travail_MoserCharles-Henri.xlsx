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EB90CAC7-0EF7-4EAA-8204-8EEB8729785D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2190" yWindow="2250" windowWidth="21600" windowHeight="11385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<sst xmlns="http://schemas.openxmlformats.org/spreadsheetml/2006/main" count="38" uniqueCount="33">
  <si>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</si>
  <si>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</si>
  <si>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</si>
  <si>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</si>
  <si>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</si>
  <si>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</si>
  <si>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</si>
  <si>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</si>
  <si>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</si>
  <si>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</si>
  <si>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</si>
  <si>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</si>
  <si>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</si>
  <si>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</si>
  <si>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</si>
  <si>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</si>
  <si>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</si>
  <si>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</si>
  <si>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</si>
  <si>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</si>
  <si>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</si>
  <si>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</si>
  <si>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</si>
  <si>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Nom Prénom</t>
  </si>
  <si>
    <t>18.03.2024  au 27.05.2024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</si>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</sst>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1.3888888888888888E-2</c:v>
                </c:pt>
                <c:pt idx="2">
                  <c:v>0</c:v>
                </c:pt>
                <c:pt idx="3">
                  <c:v>0</c:v>
                </c:pt>
                <c:pt idx="4">
                  <c:v>4.8611111111111112E-2</c:v>
                </c:pt>
                <c:pt idx="5">
                  <c:v>0</c:v>
                </c:pt>
                <c:pt idx="6">
                  <c:v>4.1666666666666664E-2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3" sqref="F13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23</v>
      </c>
      <c r="D2" s="57"/>
      <c r="E2" s="57"/>
      <c r="F2" s="5" t="s">
        <v>2</v>
      </c>
      <c r="G2" s="6" t="s">
        <v>25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3 heurs 0 minutes</v>
      </c>
      <c r="D3" s="22"/>
      <c r="E3" s="3"/>
      <c r="F3" s="4" t="s">
        <v>10</v>
      </c>
      <c r="G3" s="7" t="s">
        <v>24</v>
      </c>
    </row>
    <row r="4" spans="1:15" ht="23.25" hidden="1" x14ac:dyDescent="0.35">
      <c r="B4" s="5"/>
      <c r="C4" s="22">
        <f>SUBTOTAL(9,$C$7:$C$531)*60</f>
        <v>60</v>
      </c>
      <c r="D4" s="22">
        <f>SUBTOTAL(9,$D$7:$D$531)</f>
        <v>120</v>
      </c>
      <c r="E4" s="40">
        <f>SUM(C4:D4)</f>
        <v>180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26</v>
      </c>
      <c r="D6" s="21" t="s">
        <v>17</v>
      </c>
      <c r="E6" s="19" t="s">
        <v>27</v>
      </c>
      <c r="F6" s="19" t="s">
        <v>13</v>
      </c>
      <c r="G6" s="19" t="s">
        <v>28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29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30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31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32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/>
      <c r="G11" s="56"/>
      <c r="M11" t="s">
        <v>6</v>
      </c>
      <c r="N11">
        <v>4</v>
      </c>
      <c r="O11">
        <v>15</v>
      </c>
    </row>
    <row r="12" spans="1:15" x14ac:dyDescent="0.25">
      <c r="A12" s="8" t="str">
        <f>IF(ISBLANK(B12),"",_xlfn.ISOWEEKNUM('Journal de travail'!$B12))</f>
        <v/>
      </c>
      <c r="B12" s="46"/>
      <c r="C12" s="47"/>
      <c r="D12" s="48"/>
      <c r="E12" s="49"/>
      <c r="F12" s="36"/>
      <c r="G12" s="55"/>
      <c r="M12" t="s">
        <v>7</v>
      </c>
      <c r="N12">
        <v>5</v>
      </c>
      <c r="O12">
        <v>20</v>
      </c>
    </row>
    <row r="13" spans="1:15" x14ac:dyDescent="0.25">
      <c r="A13" s="16" t="str">
        <f>IF(ISBLANK(B13),"",_xlfn.ISOWEEKNUM('Journal de travail'!$B13))</f>
        <v/>
      </c>
      <c r="B13" s="50"/>
      <c r="C13" s="51"/>
      <c r="D13" s="52"/>
      <c r="E13" s="53"/>
      <c r="F13" s="36"/>
      <c r="G13" s="56"/>
      <c r="M13" t="s">
        <v>8</v>
      </c>
      <c r="N13">
        <v>6</v>
      </c>
      <c r="O13">
        <v>25</v>
      </c>
    </row>
    <row r="14" spans="1:15" x14ac:dyDescent="0.25">
      <c r="A14" s="8" t="str">
        <f>IF(ISBLANK(B14),"",_xlfn.ISOWEEKNUM('Journal de travail'!$B14))</f>
        <v/>
      </c>
      <c r="B14" s="46"/>
      <c r="C14" s="47"/>
      <c r="D14" s="48"/>
      <c r="E14" s="49"/>
      <c r="F14" s="36"/>
      <c r="G14" s="55"/>
      <c r="M14" t="s">
        <v>21</v>
      </c>
      <c r="N14">
        <v>7</v>
      </c>
      <c r="O14">
        <v>30</v>
      </c>
    </row>
    <row r="15" spans="1:15" x14ac:dyDescent="0.25">
      <c r="A15" s="16" t="str">
        <f>IF(ISBLANK(B15),"",_xlfn.ISOWEEKNUM('Journal de travail'!$B15))</f>
        <v/>
      </c>
      <c r="B15" s="50"/>
      <c r="C15" s="51"/>
      <c r="D15" s="52"/>
      <c r="E15" s="53"/>
      <c r="F15" s="36"/>
      <c r="G15" s="56"/>
      <c r="M15" t="s">
        <v>22</v>
      </c>
      <c r="N15">
        <v>8</v>
      </c>
      <c r="O15">
        <v>35</v>
      </c>
    </row>
    <row r="16" spans="1:15" x14ac:dyDescent="0.25">
      <c r="A16" s="8" t="str">
        <f>IF(ISBLANK(B16),"",_xlfn.ISOWEEKNUM('Journal de travail'!$B16))</f>
        <v/>
      </c>
      <c r="B16" s="46"/>
      <c r="C16" s="47"/>
      <c r="D16" s="48"/>
      <c r="E16" s="49"/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20</v>
      </c>
      <c r="C5" s="41" t="str">
        <f>'Journal de travail'!M9</f>
        <v>Développement</v>
      </c>
      <c r="D5" s="33">
        <f t="shared" ref="D5:D11" si="0">(A5+B5)/1440</f>
        <v>1.3888888888888888E-2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70</v>
      </c>
      <c r="C8" s="28" t="str">
        <f>'Journal de travail'!M12</f>
        <v>Meeting</v>
      </c>
      <c r="D8" s="33">
        <f t="shared" si="0"/>
        <v>4.8611111111111112E-2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0</v>
      </c>
      <c r="C10" s="37" t="str">
        <f>'Journal de travail'!M14</f>
        <v>Design</v>
      </c>
      <c r="D10" s="33">
        <f t="shared" si="0"/>
        <v>4.1666666666666664E-2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0.125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2025-04-09T09:06:36Z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