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c01zcg\Documents\GitHub\Passion_lecture_FRONTEND\documentation\JDT-personal\"/>
    </mc:Choice>
  </mc:AlternateContent>
  <xr:revisionPtr revIDLastSave="0" documentId="13_ncr:1_{4633AAE0-11BF-45AA-95C6-E9CE246EECA0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3090" yWindow="1230" windowWidth="21600" windowHeight="11385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<sst xmlns="http://schemas.openxmlformats.org/spreadsheetml/2006/main" count="52" uniqueCount="41">
  <si>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</si>
  <si>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</si>
  <si>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</si>
  <si>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</si>
  <si>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</si>
  <si>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</si>
  <si>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</si>
  <si>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</si>
  <si>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</si>
  <si>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</si>
  <si>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</si>
  <si>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</si>
  <si>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</si>
  <si>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</si>
  <si>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</si>
  <si>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</si>
  <si>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</si>
  <si>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</si>
  <si>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</si>
  <si>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</si>
  <si>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</si>
  <si>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</si>
  <si>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</si>
  <si>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P_App - 335 - Passion Lecture</t>
  </si>
  <si>
    <t>heure</t>
  </si>
  <si>
    <t>Activité</t>
  </si>
  <si>
    <t>Remarque / problème</t>
  </si>
  <si>
    <t>Explications du projet par M.Charmier</t>
  </si>
  <si>
    <t>Analyse du CdC avec mes coéquipiers Antoine et Yosef</t>
  </si>
  <si>
    <t>Creation du GitHub Project et creation des issues de base avec l'équipe.</t>
  </si>
  <si>
    <t>Update des maquettes pour adérer auc demandes dans le CdC</t>
  </si>
  <si>
    <t>Mise en place du projet Vue.js et apprentissage sur le site vue.js</t>
  </si>
  <si>
    <t>Moser Charles-Henri</t>
  </si>
  <si>
    <t>08.04.2025  au 26.05.2025</t>
  </si>
  <si>
    <t>Discussion avec Antoine sur le travail que l'on fait aujourd'hui.</t>
  </si>
  <si>
    <t>Retour avec Antoine sur la Maquette.</t>
  </si>
  <si>
    <t>Base pour le Footeur: Fonctionnel et s'affiche dans la page d'acceuil</t>
  </si>
  <si>
    <t>Footer presque fini.</t>
  </si>
  <si>
    <t>Page d'acceuil coupée en 2 donc doit refaire code pour cela.</t>
  </si>
  <si>
    <t>Header</t>
  </si>
  <si>
    <t>DropDown Menu avec Antoine Piguet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</si>
</sst>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2.0833333333333332E-2</c:v>
                </c:pt>
                <c:pt idx="1">
                  <c:v>0.19097222222222221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</c:v>
                </c:pt>
                <c:pt idx="6">
                  <c:v>4.8611111111111112E-2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21" sqref="F21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32</v>
      </c>
      <c r="D2" s="57"/>
      <c r="E2" s="57"/>
      <c r="F2" s="5" t="s">
        <v>2</v>
      </c>
      <c r="G2" s="6" t="s">
        <v>23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7 heurs 45 minutes</v>
      </c>
      <c r="D3" s="22"/>
      <c r="E3" s="3"/>
      <c r="F3" s="4" t="s">
        <v>10</v>
      </c>
      <c r="G3" s="7" t="s">
        <v>33</v>
      </c>
    </row>
    <row r="4" spans="1:15" ht="23.25" hidden="1" x14ac:dyDescent="0.35">
      <c r="B4" s="5"/>
      <c r="C4" s="22">
        <f>SUBTOTAL(9,$C$7:$C$531)*60</f>
        <v>180</v>
      </c>
      <c r="D4" s="22">
        <f>SUBTOTAL(9,$D$7:$D$531)</f>
        <v>285</v>
      </c>
      <c r="E4" s="40">
        <f>SUM(C4:D4)</f>
        <v>465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24</v>
      </c>
      <c r="D6" s="21" t="s">
        <v>17</v>
      </c>
      <c r="E6" s="19" t="s">
        <v>25</v>
      </c>
      <c r="F6" s="19" t="s">
        <v>13</v>
      </c>
      <c r="G6" s="19" t="s">
        <v>26</v>
      </c>
    </row>
    <row r="7" spans="1:1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7</v>
      </c>
      <c r="F7" s="36" t="s">
        <v>27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30</v>
      </c>
      <c r="E8" s="49" t="s">
        <v>3</v>
      </c>
      <c r="F8" s="36" t="s">
        <v>28</v>
      </c>
      <c r="G8" s="55"/>
      <c r="M8" t="s">
        <v>3</v>
      </c>
      <c r="N8">
        <v>1</v>
      </c>
      <c r="O8">
        <v>0</v>
      </c>
    </row>
    <row r="9" spans="1:15" x14ac:dyDescent="0.25">
      <c r="A9" s="16">
        <f>IF(ISBLANK(B9),"",_xlfn.ISOWEEKNUM('Journal de travail'!$B9))</f>
        <v>15</v>
      </c>
      <c r="B9" s="50">
        <v>45755</v>
      </c>
      <c r="C9" s="51"/>
      <c r="D9" s="52">
        <v>50</v>
      </c>
      <c r="E9" s="53" t="s">
        <v>7</v>
      </c>
      <c r="F9" s="36" t="s">
        <v>29</v>
      </c>
      <c r="G9" s="56"/>
      <c r="M9" t="s">
        <v>4</v>
      </c>
      <c r="N9">
        <v>2</v>
      </c>
      <c r="O9">
        <v>5</v>
      </c>
    </row>
    <row r="10" spans="1:15" x14ac:dyDescent="0.25">
      <c r="A10" s="8">
        <f>IF(ISBLANK(B10),"",_xlfn.ISOWEEKNUM('Journal de travail'!$B10))</f>
        <v>15</v>
      </c>
      <c r="B10" s="46">
        <v>45756</v>
      </c>
      <c r="C10" s="47">
        <v>1</v>
      </c>
      <c r="D10" s="48"/>
      <c r="E10" s="49" t="s">
        <v>21</v>
      </c>
      <c r="F10" s="36" t="s">
        <v>30</v>
      </c>
      <c r="G10" s="55"/>
      <c r="M10" t="s">
        <v>5</v>
      </c>
      <c r="N10">
        <v>3</v>
      </c>
      <c r="O10">
        <v>10</v>
      </c>
    </row>
    <row r="11" spans="1:15" x14ac:dyDescent="0.25">
      <c r="A11" s="16">
        <f>IF(ISBLANK(B11),"",_xlfn.ISOWEEKNUM('Journal de travail'!$B11))</f>
        <v>15</v>
      </c>
      <c r="B11" s="50">
        <v>45756</v>
      </c>
      <c r="C11" s="51"/>
      <c r="D11" s="52">
        <v>20</v>
      </c>
      <c r="E11" s="53" t="s">
        <v>4</v>
      </c>
      <c r="F11" s="36" t="s">
        <v>31</v>
      </c>
      <c r="G11" s="56"/>
      <c r="M11" t="s">
        <v>6</v>
      </c>
      <c r="N11">
        <v>4</v>
      </c>
      <c r="O11">
        <v>15</v>
      </c>
    </row>
    <row r="12" spans="1:15" x14ac:dyDescent="0.25">
      <c r="A12" s="8">
        <f>IF(ISBLANK(B12),"",_xlfn.ISOWEEKNUM('Journal de travail'!$B12))</f>
        <v>18</v>
      </c>
      <c r="B12" s="46">
        <v>45776</v>
      </c>
      <c r="C12" s="47"/>
      <c r="D12" s="48">
        <v>20</v>
      </c>
      <c r="E12" s="49" t="s">
        <v>7</v>
      </c>
      <c r="F12" s="36" t="s">
        <v>34</v>
      </c>
      <c r="G12" s="55"/>
      <c r="M12" t="s">
        <v>7</v>
      </c>
      <c r="N12">
        <v>5</v>
      </c>
      <c r="O12">
        <v>20</v>
      </c>
    </row>
    <row r="13" spans="1:15" x14ac:dyDescent="0.25">
      <c r="A13" s="16">
        <f>IF(ISBLANK(B13),"",_xlfn.ISOWEEKNUM('Journal de travail'!$B13))</f>
        <v>18</v>
      </c>
      <c r="B13" s="50">
        <v>45776</v>
      </c>
      <c r="C13" s="51"/>
      <c r="D13" s="52">
        <v>10</v>
      </c>
      <c r="E13" s="53" t="s">
        <v>21</v>
      </c>
      <c r="F13" s="36" t="s">
        <v>35</v>
      </c>
      <c r="G13" s="56"/>
      <c r="M13" t="s">
        <v>8</v>
      </c>
      <c r="N13">
        <v>6</v>
      </c>
      <c r="O13">
        <v>25</v>
      </c>
    </row>
    <row r="14" spans="1:15" x14ac:dyDescent="0.25">
      <c r="A14" s="8">
        <f>IF(ISBLANK(B14),"",_xlfn.ISOWEEKNUM('Journal de travail'!$B14))</f>
        <v>18</v>
      </c>
      <c r="B14" s="46">
        <v>45776</v>
      </c>
      <c r="C14" s="47">
        <v>1</v>
      </c>
      <c r="D14" s="48">
        <v>15</v>
      </c>
      <c r="E14" s="49" t="s">
        <v>4</v>
      </c>
      <c r="F14" s="36" t="s">
        <v>36</v>
      </c>
      <c r="G14" s="55"/>
      <c r="M14" t="s">
        <v>21</v>
      </c>
      <c r="N14">
        <v>7</v>
      </c>
      <c r="O14">
        <v>30</v>
      </c>
    </row>
    <row r="15" spans="1:15" x14ac:dyDescent="0.25">
      <c r="A15" s="16">
        <f>IF(ISBLANK(B15),"",_xlfn.ISOWEEKNUM('Journal de travail'!$B15))</f>
        <v>18</v>
      </c>
      <c r="B15" s="50">
        <v>45777</v>
      </c>
      <c r="C15" s="51"/>
      <c r="D15" s="52">
        <v>45</v>
      </c>
      <c r="E15" s="53" t="s">
        <v>4</v>
      </c>
      <c r="F15" s="36" t="s">
        <v>37</v>
      </c>
      <c r="G15" s="56" t="s">
        <v>38</v>
      </c>
      <c r="M15" t="s">
        <v>22</v>
      </c>
      <c r="N15">
        <v>8</v>
      </c>
      <c r="O15">
        <v>35</v>
      </c>
    </row>
    <row r="16" spans="1:15" x14ac:dyDescent="0.25">
      <c r="A16" s="8">
        <f>IF(ISBLANK(B16),"",_xlfn.ISOWEEKNUM('Journal de travail'!$B16))</f>
        <v>18</v>
      </c>
      <c r="B16" s="46">
        <v>45777</v>
      </c>
      <c r="C16" s="47"/>
      <c r="D16" s="48">
        <v>45</v>
      </c>
      <c r="E16" s="49" t="s">
        <v>4</v>
      </c>
      <c r="F16" s="36" t="s">
        <v>39</v>
      </c>
      <c r="G16" s="55"/>
      <c r="O16">
        <v>40</v>
      </c>
    </row>
    <row r="17" spans="1:15" x14ac:dyDescent="0.25">
      <c r="A17" s="16">
        <f>IF(ISBLANK(B17),"",_xlfn.ISOWEEKNUM('Journal de travail'!$B17))</f>
        <v>18</v>
      </c>
      <c r="B17" s="50">
        <v>45777</v>
      </c>
      <c r="C17" s="51">
        <v>1</v>
      </c>
      <c r="D17" s="52">
        <v>30</v>
      </c>
      <c r="E17" s="53" t="s">
        <v>4</v>
      </c>
      <c r="F17" s="36" t="s">
        <v>40</v>
      </c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30</v>
      </c>
      <c r="C4" s="25" t="str">
        <f>'Journal de travail'!M8</f>
        <v>Analyse</v>
      </c>
      <c r="D4" s="33">
        <f>(A4+B4)/1440</f>
        <v>2.0833333333333332E-2</v>
      </c>
    </row>
    <row r="5" spans="1:4" x14ac:dyDescent="0.3">
      <c r="A5">
        <f>SUMIF('Journal de travail'!$E$7:$E$532,Analyse!C5,'Journal de travail'!$C$7:$C$532)*60</f>
        <v>120</v>
      </c>
      <c r="B5">
        <f>SUMIF('Journal de travail'!$E$7:$E$532,Analyse!C5,'Journal de travail'!$D$7:$D$532)</f>
        <v>155</v>
      </c>
      <c r="C5" s="41" t="str">
        <f>'Journal de travail'!M9</f>
        <v>Développement</v>
      </c>
      <c r="D5" s="33">
        <f t="shared" ref="D5:D11" si="0">(A5+B5)/1440</f>
        <v>0.19097222222222221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90</v>
      </c>
      <c r="C8" s="28" t="str">
        <f>'Journal de travail'!M12</f>
        <v>Meeting</v>
      </c>
      <c r="D8" s="33">
        <f t="shared" si="0"/>
        <v>6.25E-2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60</v>
      </c>
      <c r="B10">
        <f>SUMIF('Journal de travail'!$E$7:$E$532,Analyse!C10,'Journal de travail'!$D$7:$D$532)</f>
        <v>10</v>
      </c>
      <c r="C10" s="37" t="str">
        <f>'Journal de travail'!M14</f>
        <v>Design</v>
      </c>
      <c r="D10" s="33">
        <f t="shared" si="0"/>
        <v>4.8611111111111112E-2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0</v>
      </c>
      <c r="C11" s="39" t="str">
        <f>'Journal de travail'!M15</f>
        <v>Autre</v>
      </c>
      <c r="D11" s="33">
        <f t="shared" si="0"/>
        <v>0</v>
      </c>
    </row>
    <row r="12" spans="1:4" x14ac:dyDescent="0.3">
      <c r="C12" s="23" t="s">
        <v>20</v>
      </c>
      <c r="D12" s="34">
        <f>SUM(D4:D11)</f>
        <v>0.32291666666666669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Charles-Henri Pascal Moser</cp:lastModifiedBy>
  <cp:revision/>
  <dcterms:created xsi:type="dcterms:W3CDTF">2023-11-21T20:00:34Z</dcterms:created>
  <dcterms:modified xsi:type="dcterms:W3CDTF">2025-04-30T09:27:23Z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