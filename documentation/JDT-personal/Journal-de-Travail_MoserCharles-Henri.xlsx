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01zcg\Documents\GitHub\Passion_lecture_FRONTEND\documentation\JDT-personal\"/>
    </mc:Choice>
  </mc:AlternateContent>
  <xr:revisionPtr revIDLastSave="0" documentId="13_ncr:1_{1970BC24-C689-4768-91C5-50BFCF25255F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-12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<sst xmlns="http://schemas.openxmlformats.org/spreadsheetml/2006/main" count="78" uniqueCount="54">
  <si>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</si>
  <si>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</si>
  <si>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</si>
  <si>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</si>
  <si>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</si>
  <si>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</si>
  <si>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</si>
  <si>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</si>
  <si>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</si>
  <si>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</si>
  <si>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</si>
  <si>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</si>
  <si>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</si>
  <si>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</si>
  <si>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</si>
  <si>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</si>
  <si>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</si>
  <si>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</si>
  <si>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</si>
  <si>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</si>
  <si>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</si>
  <si>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</si>
  <si>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</si>
  <si>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P_App - 335 - Passion Lecture</t>
  </si>
  <si>
    <t>heure</t>
  </si>
  <si>
    <t>Activité</t>
  </si>
  <si>
    <t>Remarque / problème</t>
  </si>
  <si>
    <t>Explications du projet par M.Charmier</t>
  </si>
  <si>
    <t>Analyse du CdC avec mes coéquipiers Antoine et Yosef</t>
  </si>
  <si>
    <t>Creation du GitHub Project et creation des issues de base avec l'équipe.</t>
  </si>
  <si>
    <t>Update des maquettes pour adérer auc demandes dans le CdC</t>
  </si>
  <si>
    <t>Mise en place du projet Vue.js et apprentissage sur le site vue.js</t>
  </si>
  <si>
    <t>Moser Charles-Henri</t>
  </si>
  <si>
    <t>08.04.2025  au 26.05.2025</t>
  </si>
  <si>
    <t>Discussion avec Antoine sur le travail que l'on fait aujourd'hui.</t>
  </si>
  <si>
    <t>Retour avec Antoine sur la Maquette.</t>
  </si>
  <si>
    <t>Base pour le Footeur: Fonctionnel et s'affiche dans la page d'acceuil</t>
  </si>
  <si>
    <t>Footer presque fini.</t>
  </si>
  <si>
    <t>Page d'acceuil coupée en 2 donc doit refaire code pour cela.</t>
  </si>
  <si>
    <t>Header</t>
  </si>
  <si>
    <t>DropDown Menu avec Antoine Piguet</t>
  </si>
  <si>
    <t xml:space="preserve">Changements dans le Header et la sidebare </t>
  </si>
  <si>
    <t>Documentations dans ce journal de travail</t>
  </si>
  <si>
    <t>Début de la page profile</t>
  </si>
  <si>
    <t>Mini Meeting avec l'équipe répartitions des tâches</t>
  </si>
  <si>
    <t>Ajout du composant page Profile.vue</t>
  </si>
  <si>
    <t>Manque les connetions avec la database et les actions CRUD</t>
  </si>
  <si>
    <t>Ajout du service api Axios</t>
  </si>
  <si>
    <t>Problème lord de modification d'images</t>
  </si>
  <si>
    <t>Supprime anciant code inutile dans lequel j'ai confondu mes modifications</t>
  </si>
  <si>
    <t>Ajout page DetailsBook.vue Template</t>
  </si>
  <si>
    <t>Details view de chaque livre fonctionnel avec communication DB</t>
  </si>
  <si>
    <t>Ajout de la page Register Template</t>
  </si>
  <si>
    <t>Peer-Working Avec Antoine Piguet sur une erreur chez lui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</si>
</sst>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2.0833333333333332E-2</c:v>
                </c:pt>
                <c:pt idx="1">
                  <c:v>0.54513888888888884</c:v>
                </c:pt>
                <c:pt idx="2">
                  <c:v>0</c:v>
                </c:pt>
                <c:pt idx="3">
                  <c:v>1.0416666666666666E-2</c:v>
                </c:pt>
                <c:pt idx="4">
                  <c:v>6.5972222222222224E-2</c:v>
                </c:pt>
                <c:pt idx="5">
                  <c:v>0</c:v>
                </c:pt>
                <c:pt idx="6">
                  <c:v>4.8611111111111112E-2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10" activePane="bottomLeft" state="frozen"/>
      <selection pane="bottomLeft" activeCell="F31" sqref="F31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32</v>
      </c>
      <c r="D2" s="57"/>
      <c r="E2" s="57"/>
      <c r="F2" s="5" t="s">
        <v>2</v>
      </c>
      <c r="G2" s="6" t="s">
        <v>23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16 heurs 34 minutes</v>
      </c>
      <c r="D3" s="22"/>
      <c r="E3" s="3"/>
      <c r="F3" s="4" t="s">
        <v>10</v>
      </c>
      <c r="G3" s="7" t="s">
        <v>33</v>
      </c>
    </row>
    <row r="4" spans="1:15" ht="23.25" hidden="1" x14ac:dyDescent="0.35">
      <c r="B4" s="5"/>
      <c r="C4" s="22">
        <f>SUBTOTAL(9,$C$7:$C$531)*60</f>
        <v>360</v>
      </c>
      <c r="D4" s="22">
        <f>SUBTOTAL(9,$D$7:$D$531)</f>
        <v>635</v>
      </c>
      <c r="E4" s="40">
        <f>SUM(C4:D4)</f>
        <v>995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24</v>
      </c>
      <c r="D6" s="21" t="s">
        <v>17</v>
      </c>
      <c r="E6" s="19" t="s">
        <v>25</v>
      </c>
      <c r="F6" s="19" t="s">
        <v>13</v>
      </c>
      <c r="G6" s="19" t="s">
        <v>26</v>
      </c>
    </row>
    <row r="7" spans="1:1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7</v>
      </c>
      <c r="F7" s="36" t="s">
        <v>27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3</v>
      </c>
      <c r="F8" s="36" t="s">
        <v>28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/>
      <c r="D9" s="52">
        <v>50</v>
      </c>
      <c r="E9" s="53" t="s">
        <v>7</v>
      </c>
      <c r="F9" s="36" t="s">
        <v>29</v>
      </c>
      <c r="G9" s="56"/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45756</v>
      </c>
      <c r="C10" s="47">
        <v>1</v>
      </c>
      <c r="D10" s="48"/>
      <c r="E10" s="49" t="s">
        <v>21</v>
      </c>
      <c r="F10" s="36" t="s">
        <v>30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20</v>
      </c>
      <c r="E11" s="53" t="s">
        <v>4</v>
      </c>
      <c r="F11" s="36" t="s">
        <v>31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18</v>
      </c>
      <c r="B12" s="46">
        <v>45776</v>
      </c>
      <c r="C12" s="47"/>
      <c r="D12" s="48">
        <v>20</v>
      </c>
      <c r="E12" s="49" t="s">
        <v>7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x14ac:dyDescent="0.25">
      <c r="A13" s="16">
        <f>IF(ISBLANK(B13),"",_xlfn.ISOWEEKNUM('Journal de travail'!$B13))</f>
        <v>18</v>
      </c>
      <c r="B13" s="50">
        <v>45776</v>
      </c>
      <c r="C13" s="51"/>
      <c r="D13" s="52">
        <v>10</v>
      </c>
      <c r="E13" s="53" t="s">
        <v>21</v>
      </c>
      <c r="F13" s="36" t="s">
        <v>35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18</v>
      </c>
      <c r="B14" s="46">
        <v>45776</v>
      </c>
      <c r="C14" s="47">
        <v>1</v>
      </c>
      <c r="D14" s="48">
        <v>15</v>
      </c>
      <c r="E14" s="49" t="s">
        <v>4</v>
      </c>
      <c r="F14" s="36" t="s">
        <v>36</v>
      </c>
      <c r="G14" s="55"/>
      <c r="M14" t="s">
        <v>21</v>
      </c>
      <c r="N14">
        <v>7</v>
      </c>
      <c r="O14">
        <v>30</v>
      </c>
    </row>
    <row r="15" spans="1:15" x14ac:dyDescent="0.25">
      <c r="A15" s="16">
        <f>IF(ISBLANK(B15),"",_xlfn.ISOWEEKNUM('Journal de travail'!$B15))</f>
        <v>18</v>
      </c>
      <c r="B15" s="50">
        <v>45777</v>
      </c>
      <c r="C15" s="51"/>
      <c r="D15" s="52">
        <v>45</v>
      </c>
      <c r="E15" s="53" t="s">
        <v>4</v>
      </c>
      <c r="F15" s="36" t="s">
        <v>37</v>
      </c>
      <c r="G15" s="56" t="s">
        <v>38</v>
      </c>
      <c r="M15" t="s">
        <v>22</v>
      </c>
      <c r="N15">
        <v>8</v>
      </c>
      <c r="O15">
        <v>35</v>
      </c>
    </row>
    <row r="16" spans="1:15" x14ac:dyDescent="0.25">
      <c r="A16" s="8">
        <f>IF(ISBLANK(B16),"",_xlfn.ISOWEEKNUM('Journal de travail'!$B16))</f>
        <v>18</v>
      </c>
      <c r="B16" s="46">
        <v>45777</v>
      </c>
      <c r="C16" s="47"/>
      <c r="D16" s="48">
        <v>45</v>
      </c>
      <c r="E16" s="49" t="s">
        <v>4</v>
      </c>
      <c r="F16" s="36" t="s">
        <v>39</v>
      </c>
      <c r="G16" s="55"/>
      <c r="O16">
        <v>40</v>
      </c>
    </row>
    <row r="17" spans="1:15" x14ac:dyDescent="0.25">
      <c r="A17" s="16">
        <f>IF(ISBLANK(B17),"",_xlfn.ISOWEEKNUM('Journal de travail'!$B17))</f>
        <v>18</v>
      </c>
      <c r="B17" s="50">
        <v>45777</v>
      </c>
      <c r="C17" s="51">
        <v>1</v>
      </c>
      <c r="D17" s="52">
        <v>30</v>
      </c>
      <c r="E17" s="53" t="s">
        <v>4</v>
      </c>
      <c r="F17" s="36" t="s">
        <v>40</v>
      </c>
      <c r="G17" s="56"/>
      <c r="O17">
        <v>45</v>
      </c>
    </row>
    <row r="18" spans="1:15" x14ac:dyDescent="0.25">
      <c r="A18" s="8">
        <f>IF(ISBLANK(B18),"",_xlfn.ISOWEEKNUM('Journal de travail'!$B18))</f>
        <v>19</v>
      </c>
      <c r="B18" s="46">
        <v>45783</v>
      </c>
      <c r="C18" s="47">
        <v>1</v>
      </c>
      <c r="D18" s="48">
        <v>25</v>
      </c>
      <c r="E18" s="49" t="s">
        <v>4</v>
      </c>
      <c r="F18" s="36" t="s">
        <v>41</v>
      </c>
      <c r="G18" s="55"/>
      <c r="O18">
        <v>50</v>
      </c>
    </row>
    <row r="19" spans="1:15" x14ac:dyDescent="0.25">
      <c r="A19" s="16">
        <f>IF(ISBLANK(B19),"",_xlfn.ISOWEEKNUM('Journal de travail'!$B19))</f>
        <v>19</v>
      </c>
      <c r="B19" s="50">
        <v>45783</v>
      </c>
      <c r="C19" s="51"/>
      <c r="D19" s="52">
        <v>40</v>
      </c>
      <c r="E19" s="53" t="s">
        <v>4</v>
      </c>
      <c r="F19" s="36" t="s">
        <v>43</v>
      </c>
      <c r="G19" s="56"/>
      <c r="O19">
        <v>55</v>
      </c>
    </row>
    <row r="20" spans="1:15" x14ac:dyDescent="0.25">
      <c r="A20" s="8">
        <f>IF(ISBLANK(B20),"",_xlfn.ISOWEEKNUM('Journal de travail'!$B20))</f>
        <v>19</v>
      </c>
      <c r="B20" s="46">
        <v>45783</v>
      </c>
      <c r="C20" s="47"/>
      <c r="D20" s="48">
        <v>5</v>
      </c>
      <c r="E20" s="49" t="s">
        <v>6</v>
      </c>
      <c r="F20" s="36" t="s">
        <v>42</v>
      </c>
      <c r="G20" s="55"/>
    </row>
    <row r="21" spans="1:15" x14ac:dyDescent="0.25">
      <c r="A21" s="16">
        <f>IF(ISBLANK(B21),"",_xlfn.ISOWEEKNUM('Journal de travail'!$B21))</f>
        <v>19</v>
      </c>
      <c r="B21" s="50">
        <v>45784</v>
      </c>
      <c r="C21" s="51"/>
      <c r="D21" s="52">
        <v>5</v>
      </c>
      <c r="E21" s="53" t="s">
        <v>7</v>
      </c>
      <c r="F21" s="36" t="s">
        <v>44</v>
      </c>
      <c r="G21" s="56"/>
    </row>
    <row r="22" spans="1:15" x14ac:dyDescent="0.25">
      <c r="A22" s="8">
        <f>IF(ISBLANK(B22),"",_xlfn.ISOWEEKNUM('Journal de travail'!$B22))</f>
        <v>19</v>
      </c>
      <c r="B22" s="46">
        <v>45784</v>
      </c>
      <c r="C22" s="47"/>
      <c r="D22" s="48">
        <v>55</v>
      </c>
      <c r="E22" s="49" t="s">
        <v>4</v>
      </c>
      <c r="F22" s="36" t="s">
        <v>45</v>
      </c>
      <c r="G22" s="55" t="s">
        <v>46</v>
      </c>
    </row>
    <row r="23" spans="1:15" x14ac:dyDescent="0.25">
      <c r="A23" s="16">
        <f>IF(ISBLANK(B23),"",_xlfn.ISOWEEKNUM('Journal de travail'!$B23))</f>
        <v>19</v>
      </c>
      <c r="B23" s="50">
        <v>45784</v>
      </c>
      <c r="C23" s="51"/>
      <c r="D23" s="52">
        <v>30</v>
      </c>
      <c r="E23" s="53" t="s">
        <v>4</v>
      </c>
      <c r="F23" s="36" t="s">
        <v>47</v>
      </c>
      <c r="G23" s="56"/>
    </row>
    <row r="24" spans="1:15" x14ac:dyDescent="0.25">
      <c r="A24" s="8">
        <f>IF(ISBLANK(B24),"",_xlfn.ISOWEEKNUM('Journal de travail'!$B24))</f>
        <v>19</v>
      </c>
      <c r="B24" s="46">
        <v>45784</v>
      </c>
      <c r="C24" s="47"/>
      <c r="D24" s="48">
        <v>30</v>
      </c>
      <c r="E24" s="49" t="s">
        <v>4</v>
      </c>
      <c r="F24" s="36" t="s">
        <v>48</v>
      </c>
      <c r="G24" s="55" t="s">
        <v>49</v>
      </c>
    </row>
    <row r="25" spans="1:15" x14ac:dyDescent="0.25">
      <c r="A25" s="16">
        <f>IF(ISBLANK(B25),"",_xlfn.ISOWEEKNUM('Journal de travail'!$B25))</f>
        <v>19</v>
      </c>
      <c r="B25" s="50">
        <v>45784</v>
      </c>
      <c r="C25" s="51"/>
      <c r="D25" s="52">
        <v>55</v>
      </c>
      <c r="E25" s="53" t="s">
        <v>4</v>
      </c>
      <c r="F25" s="36" t="s">
        <v>50</v>
      </c>
      <c r="G25" s="56"/>
    </row>
    <row r="26" spans="1:15" x14ac:dyDescent="0.25">
      <c r="A26" s="8">
        <f>IF(ISBLANK(B26),"",_xlfn.ISOWEEKNUM('Journal de travail'!$B26))</f>
        <v>20</v>
      </c>
      <c r="B26" s="46">
        <v>45790</v>
      </c>
      <c r="C26" s="47">
        <v>2</v>
      </c>
      <c r="D26" s="48">
        <v>15</v>
      </c>
      <c r="E26" s="49" t="s">
        <v>4</v>
      </c>
      <c r="F26" s="36" t="s">
        <v>51</v>
      </c>
      <c r="G26" s="55"/>
    </row>
    <row r="27" spans="1:15" x14ac:dyDescent="0.25">
      <c r="A27" s="16">
        <f>IF(ISBLANK(B27),"",_xlfn.ISOWEEKNUM('Journal de travail'!$B27))</f>
        <v>20</v>
      </c>
      <c r="B27" s="50">
        <v>45790</v>
      </c>
      <c r="C27" s="51"/>
      <c r="D27" s="52">
        <v>40</v>
      </c>
      <c r="E27" s="53" t="s">
        <v>4</v>
      </c>
      <c r="F27" s="36" t="s">
        <v>52</v>
      </c>
      <c r="G27" s="56"/>
    </row>
    <row r="28" spans="1:15" x14ac:dyDescent="0.25">
      <c r="A28" s="8">
        <f>IF(ISBLANK(B28),"",_xlfn.ISOWEEKNUM('Journal de travail'!$B28))</f>
        <v>20</v>
      </c>
      <c r="B28" s="46">
        <v>45790</v>
      </c>
      <c r="C28" s="47"/>
      <c r="D28" s="48">
        <v>40</v>
      </c>
      <c r="E28" s="49" t="s">
        <v>4</v>
      </c>
      <c r="F28" s="35" t="s">
        <v>53</v>
      </c>
      <c r="G28" s="55"/>
    </row>
    <row r="29" spans="1:15" x14ac:dyDescent="0.25">
      <c r="A29" s="16">
        <f>IF(ISBLANK(B29),"",_xlfn.ISOWEEKNUM('Journal de travail'!$B29))</f>
        <v>20</v>
      </c>
      <c r="B29" s="50">
        <v>45790</v>
      </c>
      <c r="C29" s="51"/>
      <c r="D29" s="52">
        <v>10</v>
      </c>
      <c r="E29" s="53" t="s">
        <v>6</v>
      </c>
      <c r="F29" s="35" t="s">
        <v>0</v>
      </c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30</v>
      </c>
      <c r="C4" s="25" t="str">
        <f>'Journal de travail'!M8</f>
        <v>Analyse</v>
      </c>
      <c r="D4" s="33">
        <f>(A4+B4)/1440</f>
        <v>2.0833333333333332E-2</v>
      </c>
    </row>
    <row r="5" spans="1:4" x14ac:dyDescent="0.3">
      <c r="A5">
        <f>SUMIF('Journal de travail'!$E$7:$E$532,Analyse!C5,'Journal de travail'!$C$7:$C$532)*60</f>
        <v>300</v>
      </c>
      <c r="B5">
        <f>SUMIF('Journal de travail'!$E$7:$E$532,Analyse!C5,'Journal de travail'!$D$7:$D$532)</f>
        <v>485</v>
      </c>
      <c r="C5" s="41" t="str">
        <f>'Journal de travail'!M9</f>
        <v>Développement</v>
      </c>
      <c r="D5" s="33">
        <f t="shared" ref="D5:D11" si="0">(A5+B5)/1440</f>
        <v>0.54513888888888884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15</v>
      </c>
      <c r="C7" s="27" t="str">
        <f>'Journal de travail'!M11</f>
        <v>Documentation</v>
      </c>
      <c r="D7" s="33">
        <f t="shared" si="0"/>
        <v>1.0416666666666666E-2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95</v>
      </c>
      <c r="C8" s="28" t="str">
        <f>'Journal de travail'!M12</f>
        <v>Meeting</v>
      </c>
      <c r="D8" s="33">
        <f t="shared" si="0"/>
        <v>6.5972222222222224E-2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60</v>
      </c>
      <c r="B10">
        <f>SUMIF('Journal de travail'!$E$7:$E$532,Analyse!C10,'Journal de travail'!$D$7:$D$532)</f>
        <v>10</v>
      </c>
      <c r="C10" s="37" t="str">
        <f>'Journal de travail'!M14</f>
        <v>Design</v>
      </c>
      <c r="D10" s="33">
        <f t="shared" si="0"/>
        <v>4.8611111111111112E-2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0.69097222222222221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Charles-Henri Pascal Moser</cp:lastModifiedBy>
  <cp:revision/>
  <dcterms:created xsi:type="dcterms:W3CDTF">2023-11-21T20:00:34Z</dcterms:created>
  <dcterms:modified xsi:type="dcterms:W3CDTF">2025-05-13T15:17:54Z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